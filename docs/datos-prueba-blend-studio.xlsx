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Empleados" state="visible" r:id="rId5"/>
    <sheet sheetId="3" name="Clientes" state="visible" r:id="rId6"/>
    <sheet sheetId="4" name="Servicios" state="visible" r:id="rId7"/>
    <sheet sheetId="5" name="Productos" state="visible" r:id="rId8"/>
    <sheet sheetId="6" name="Tratamientos" state="visible" r:id="rId9"/>
    <sheet sheetId="7" name="Sesiones" state="visible" r:id="rId10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B10" authorId="0">
      <text>
        <r>
          <t>Tasa general del ITBMS en Panamá (7%). Editable: las hojas de Servicios usan esta celda.</t>
        </r>
      </text>
    </comment>
  </commentList>
</comments>
</file>

<file path=xl/sharedStrings.xml><?xml version="1.0" encoding="utf-8"?>
<sst xmlns="http://schemas.openxmlformats.org/spreadsheetml/2006/main" count="813" uniqueCount="466">
  <si>
    <t>Datos de prueba — Blend Studio</t>
  </si>
  <si>
    <t/>
  </si>
  <si>
    <t>Qué es</t>
  </si>
  <si>
    <t>Datos ficticios para probar la app (solo proyecto de desarrollo). Las personas y marcas no existen; las fotos son generadas con IA.</t>
  </si>
  <si>
    <t>Hojas</t>
  </si>
  <si>
    <t>Clientes · Empleados · Servicios (tarifario) · Productos · Tratamientos · Sesiones</t>
  </si>
  <si>
    <t>Colores</t>
  </si>
  <si>
    <t>Texto azul = dato ingresado (se puede editar). Texto negro = fórmula. Texto verde = toma un valor de otra hoja.</t>
  </si>
  <si>
    <t>Fotos</t>
  </si>
  <si>
    <t>Carpeta supabase/seed-demo/fotos/ del proyecto (columna «Foto» indica el archivo).</t>
  </si>
  <si>
    <t>Fecha de referencia</t>
  </si>
  <si>
    <t>7 de octubre de 2026 (las sesiones anteriores figuran como completadas).</t>
  </si>
  <si>
    <t>SUPUESTOS</t>
  </si>
  <si>
    <t>ITBMS</t>
  </si>
  <si>
    <t>Fuente de precios de servicios</t>
  </si>
  <si>
    <t>Referencias públicas de salones, barberías y spas en Ciudad de Panamá (Fresha: fresha.com/lp/en/pa-panam%C3%A1; Booksy; sitio del Spa eforea, Hilton Panamá). Rango gama media-alta. Ajustar antes de producción.</t>
  </si>
  <si>
    <t>Fuente de precios de productos</t>
  </si>
  <si>
    <t>Estimación propia de costos de proveedor y precios al público en Panamá para marcas profesionales genéricas. Ajustar con las facturas reales.</t>
  </si>
  <si>
    <t>ID</t>
  </si>
  <si>
    <t>Nombre</t>
  </si>
  <si>
    <t>Apellido</t>
  </si>
  <si>
    <t>Género</t>
  </si>
  <si>
    <t>Edad</t>
  </si>
  <si>
    <t>Rol en el sistema</t>
  </si>
  <si>
    <t>Especialidad</t>
  </si>
  <si>
    <t>Comisión %</t>
  </si>
  <si>
    <t>Recibe reservas web</t>
  </si>
  <si>
    <t>Acceso al sistema</t>
  </si>
  <si>
    <t>Correo de prueba</t>
  </si>
  <si>
    <t>Color en agenda</t>
  </si>
  <si>
    <t>Foto</t>
  </si>
  <si>
    <t>e01</t>
  </si>
  <si>
    <t>Mariela</t>
  </si>
  <si>
    <t>Castillo</t>
  </si>
  <si>
    <t>F</t>
  </si>
  <si>
    <t>Administrador</t>
  </si>
  <si>
    <t>Gerente del salón</t>
  </si>
  <si>
    <t>No</t>
  </si>
  <si>
    <t>Sí</t>
  </si>
  <si>
    <t>mariela.castillo@prueba.blendstudio.test</t>
  </si>
  <si>
    <t>#C9A15B</t>
  </si>
  <si>
    <t>fotos/empleados/e01.webp</t>
  </si>
  <si>
    <t>e02</t>
  </si>
  <si>
    <t>Daniela</t>
  </si>
  <si>
    <t>Herrera</t>
  </si>
  <si>
    <t>Recepción</t>
  </si>
  <si>
    <t>Recepcionista</t>
  </si>
  <si>
    <t>daniela.herrera@prueba.blendstudio.test</t>
  </si>
  <si>
    <t>#8E7DBE</t>
  </si>
  <si>
    <t>fotos/empleados/e02.webp</t>
  </si>
  <si>
    <t>e03</t>
  </si>
  <si>
    <t>Carlos</t>
  </si>
  <si>
    <t>Méndez</t>
  </si>
  <si>
    <t>M</t>
  </si>
  <si>
    <t>Profesional</t>
  </si>
  <si>
    <t>Barbero</t>
  </si>
  <si>
    <t>carlos.mendez@prueba.blendstudio.test</t>
  </si>
  <si>
    <t>#2E86AB</t>
  </si>
  <si>
    <t>fotos/empleados/e03.webp</t>
  </si>
  <si>
    <t>e04</t>
  </si>
  <si>
    <t>Ana Lucía</t>
  </si>
  <si>
    <t>Ríos</t>
  </si>
  <si>
    <t>Estilista y colorista</t>
  </si>
  <si>
    <t>ana.rios@prueba.blendstudio.test</t>
  </si>
  <si>
    <t>#D1495B</t>
  </si>
  <si>
    <t>fotos/empleados/e04.webp</t>
  </si>
  <si>
    <t>e05</t>
  </si>
  <si>
    <t>Ricardo</t>
  </si>
  <si>
    <t>Pinzón</t>
  </si>
  <si>
    <t>Estilista de cabello</t>
  </si>
  <si>
    <t>—</t>
  </si>
  <si>
    <t>#00798C</t>
  </si>
  <si>
    <t>fotos/empleados/e05.webp</t>
  </si>
  <si>
    <t>e06</t>
  </si>
  <si>
    <t>Sofía</t>
  </si>
  <si>
    <t>Delgado</t>
  </si>
  <si>
    <t>Manicurista y pedicurista</t>
  </si>
  <si>
    <t>sofia.delgado@prueba.blendstudio.test</t>
  </si>
  <si>
    <t>#EDAE49</t>
  </si>
  <si>
    <t>fotos/empleados/e06.webp</t>
  </si>
  <si>
    <t>e07</t>
  </si>
  <si>
    <t>Valeria</t>
  </si>
  <si>
    <t>Núñez</t>
  </si>
  <si>
    <t>Cosmetóloga y pestañista</t>
  </si>
  <si>
    <t>valeria.nunez@prueba.blendstudio.test</t>
  </si>
  <si>
    <t>#6A994E</t>
  </si>
  <si>
    <t>fotos/empleados/e07.webp</t>
  </si>
  <si>
    <t>e08</t>
  </si>
  <si>
    <t>Kevin</t>
  </si>
  <si>
    <t>Araúz</t>
  </si>
  <si>
    <t>Asistente</t>
  </si>
  <si>
    <t>Asistente de salón</t>
  </si>
  <si>
    <t>kevin.arauz@prueba.blendstudio.test</t>
  </si>
  <si>
    <t>#7D8491</t>
  </si>
  <si>
    <t>fotos/empleados/e08.webp</t>
  </si>
  <si>
    <t>Fecha de nacimiento</t>
  </si>
  <si>
    <t>Teléfono</t>
  </si>
  <si>
    <t>Correo</t>
  </si>
  <si>
    <t>Recordatorios por WhatsApp</t>
  </si>
  <si>
    <t>Permite uso de fotos</t>
  </si>
  <si>
    <t>Tratamiento activo</t>
  </si>
  <si>
    <t>c01</t>
  </si>
  <si>
    <t>Gabriela</t>
  </si>
  <si>
    <t>Sánchez</t>
  </si>
  <si>
    <t>+507 6612-4580</t>
  </si>
  <si>
    <t>gabriela.sanchez@correo-prueba.test</t>
  </si>
  <si>
    <t>Tratamiento facial para acné</t>
  </si>
  <si>
    <t>fotos/clientes/c01.webp</t>
  </si>
  <si>
    <t>c02</t>
  </si>
  <si>
    <t>Luis</t>
  </si>
  <si>
    <t>Batista</t>
  </si>
  <si>
    <t>+507 6745-1123</t>
  </si>
  <si>
    <t>luis.batista@correo-prueba.test</t>
  </si>
  <si>
    <t>Tratamiento capilar anticaída</t>
  </si>
  <si>
    <t>fotos/clientes/c02.webp</t>
  </si>
  <si>
    <t>c03</t>
  </si>
  <si>
    <t>Carolina</t>
  </si>
  <si>
    <t>Vega</t>
  </si>
  <si>
    <t>+507 6230-9917</t>
  </si>
  <si>
    <t>carolina.vega@correo-prueba.test</t>
  </si>
  <si>
    <t>Despigmentación de manchas (melasma)</t>
  </si>
  <si>
    <t>fotos/clientes/c03.webp</t>
  </si>
  <si>
    <t>c04</t>
  </si>
  <si>
    <t>Patricia</t>
  </si>
  <si>
    <t>Morales</t>
  </si>
  <si>
    <t>+507 6901-3344</t>
  </si>
  <si>
    <t>patricia.morales@correo-prueba.test</t>
  </si>
  <si>
    <t>Reconstrucción capilar con keratina</t>
  </si>
  <si>
    <t>fotos/clientes/c04.webp</t>
  </si>
  <si>
    <t>c05</t>
  </si>
  <si>
    <t>Andrés</t>
  </si>
  <si>
    <t>Quintero</t>
  </si>
  <si>
    <t>+507 6378-2201</t>
  </si>
  <si>
    <t>andres.quintero@correo-prueba.test</t>
  </si>
  <si>
    <t>fotos/clientes/c05.webp</t>
  </si>
  <si>
    <t>c06</t>
  </si>
  <si>
    <t>María José</t>
  </si>
  <si>
    <t>Guerra</t>
  </si>
  <si>
    <t>+507 6455-7810</t>
  </si>
  <si>
    <t>maria.guerra@correo-prueba.test</t>
  </si>
  <si>
    <t>fotos/clientes/c06.webp</t>
  </si>
  <si>
    <t>c07</t>
  </si>
  <si>
    <t>Jorge</t>
  </si>
  <si>
    <t>Samaniego</t>
  </si>
  <si>
    <t>+507 6822-0456</t>
  </si>
  <si>
    <t>jorge.samaniego@correo-prueba.test</t>
  </si>
  <si>
    <t>fotos/clientes/c07.webp</t>
  </si>
  <si>
    <t>c08</t>
  </si>
  <si>
    <t>Isabel</t>
  </si>
  <si>
    <t>Cedeño</t>
  </si>
  <si>
    <t>+507 6119-6632</t>
  </si>
  <si>
    <t>isabel.cedeno@correo-prueba.test</t>
  </si>
  <si>
    <t>fotos/clientes/c08.webp</t>
  </si>
  <si>
    <t>c09</t>
  </si>
  <si>
    <t>Diego</t>
  </si>
  <si>
    <t>Tejada</t>
  </si>
  <si>
    <t>+507 6587-3390</t>
  </si>
  <si>
    <t>diego.tejada@correo-prueba.test</t>
  </si>
  <si>
    <t>fotos/clientes/c09.webp</t>
  </si>
  <si>
    <t>c10</t>
  </si>
  <si>
    <t>Rosa</t>
  </si>
  <si>
    <t>Jaén</t>
  </si>
  <si>
    <t>+507 6290-1178</t>
  </si>
  <si>
    <t>rosa.jaen@correo-prueba.test</t>
  </si>
  <si>
    <t>fotos/clientes/c10.webp</t>
  </si>
  <si>
    <t>c11</t>
  </si>
  <si>
    <t>Fernando</t>
  </si>
  <si>
    <t>Arosemena</t>
  </si>
  <si>
    <t>+507 6733-5025</t>
  </si>
  <si>
    <t>fernando.arosemena@correo-prueba.test</t>
  </si>
  <si>
    <t>fotos/clientes/c11.webp</t>
  </si>
  <si>
    <t>c12</t>
  </si>
  <si>
    <t>Natalia</t>
  </si>
  <si>
    <t>Pérez</t>
  </si>
  <si>
    <t>+507 6044-8261</t>
  </si>
  <si>
    <t>natalia.perez@correo-prueba.test</t>
  </si>
  <si>
    <t>fotos/clientes/c12.webp</t>
  </si>
  <si>
    <t>c13</t>
  </si>
  <si>
    <t>Miguel</t>
  </si>
  <si>
    <t>De León</t>
  </si>
  <si>
    <t>+507 6961-2475</t>
  </si>
  <si>
    <t>miguel.deleon@correo-prueba.test</t>
  </si>
  <si>
    <t>fotos/clientes/c13.webp</t>
  </si>
  <si>
    <t>c14</t>
  </si>
  <si>
    <t>Lucía</t>
  </si>
  <si>
    <t>Rodríguez</t>
  </si>
  <si>
    <t>+507 6508-7743</t>
  </si>
  <si>
    <t>lucia.rodriguez@correo-prueba.test</t>
  </si>
  <si>
    <t>fotos/clientes/c14.webp</t>
  </si>
  <si>
    <t>c15</t>
  </si>
  <si>
    <t>Alejandro</t>
  </si>
  <si>
    <t>Chen</t>
  </si>
  <si>
    <t>+507 6376-9104</t>
  </si>
  <si>
    <t>alejandro.chen@correo-prueba.test</t>
  </si>
  <si>
    <t>fotos/clientes/c15.webp</t>
  </si>
  <si>
    <t>c16</t>
  </si>
  <si>
    <t>Valentina</t>
  </si>
  <si>
    <t>Osorio</t>
  </si>
  <si>
    <t>+507 6215-0089</t>
  </si>
  <si>
    <t>valentina.osorio@correo-prueba.test</t>
  </si>
  <si>
    <t>fotos/clientes/c16.webp</t>
  </si>
  <si>
    <t>c17</t>
  </si>
  <si>
    <t>Roberto</t>
  </si>
  <si>
    <t>Ortega</t>
  </si>
  <si>
    <t>+507 6840-3367</t>
  </si>
  <si>
    <t>roberto.ortega@correo-prueba.test</t>
  </si>
  <si>
    <t>fotos/clientes/c17.webp</t>
  </si>
  <si>
    <t>c18</t>
  </si>
  <si>
    <t>Camila</t>
  </si>
  <si>
    <t>Fuentes</t>
  </si>
  <si>
    <t>+507 6697-5512</t>
  </si>
  <si>
    <t>camila.fuentes@correo-prueba.test</t>
  </si>
  <si>
    <t>fotos/clientes/c18.webp</t>
  </si>
  <si>
    <t>c19</t>
  </si>
  <si>
    <t>Eduardo</t>
  </si>
  <si>
    <t>Vásquez</t>
  </si>
  <si>
    <t>+507 6154-2238</t>
  </si>
  <si>
    <t>eduardo.vasquez@correo-prueba.test</t>
  </si>
  <si>
    <t>fotos/clientes/c19.webp</t>
  </si>
  <si>
    <t>c20</t>
  </si>
  <si>
    <t>Ruiz</t>
  </si>
  <si>
    <t>+507 6429-6670</t>
  </si>
  <si>
    <t>daniela.ruiz@correo-prueba.test</t>
  </si>
  <si>
    <t>fotos/clientes/c20.webp</t>
  </si>
  <si>
    <t>Categoría</t>
  </si>
  <si>
    <t>Servicio</t>
  </si>
  <si>
    <t>Duración (min)</t>
  </si>
  <si>
    <t>Precio de lista (B/.)</t>
  </si>
  <si>
    <t>Precio con descuento (B/.)</t>
  </si>
  <si>
    <t>Ahorro %</t>
  </si>
  <si>
    <t>Precio final (B/.)</t>
  </si>
  <si>
    <t>ITBMS (B/.)</t>
  </si>
  <si>
    <t>Total con ITBMS (B/.)</t>
  </si>
  <si>
    <t>Lo realiza</t>
  </si>
  <si>
    <t>Barbería</t>
  </si>
  <si>
    <t>Corte clásico caballero</t>
  </si>
  <si>
    <t>Carlos Méndez</t>
  </si>
  <si>
    <t>Corte fade / degradado</t>
  </si>
  <si>
    <t>Perfilado de barba</t>
  </si>
  <si>
    <t>Afeitado clásico con navaja y toalla caliente</t>
  </si>
  <si>
    <t>Corte y barba</t>
  </si>
  <si>
    <t>Corte niño (hasta 12 años)</t>
  </si>
  <si>
    <t>Cabello</t>
  </si>
  <si>
    <t>Corte dama</t>
  </si>
  <si>
    <t>Ana Lucía Ríos, Ricardo Pinzón</t>
  </si>
  <si>
    <t>Lavado y secado (brushing)</t>
  </si>
  <si>
    <t>Peinado de evento / recogido</t>
  </si>
  <si>
    <t>Tinte de raíz</t>
  </si>
  <si>
    <t>Tinte completo</t>
  </si>
  <si>
    <t>Mechas o balayage</t>
  </si>
  <si>
    <t>Matizado / gloss</t>
  </si>
  <si>
    <t>Keratina / alisado</t>
  </si>
  <si>
    <t>Hidratación profunda</t>
  </si>
  <si>
    <t>Tratamiento capilar anticaída (sesión)</t>
  </si>
  <si>
    <t>Uñas</t>
  </si>
  <si>
    <t>Uñas acrílicas (set completo)</t>
  </si>
  <si>
    <t>Sofía Delgado</t>
  </si>
  <si>
    <t>Relleno de acrílico</t>
  </si>
  <si>
    <t>Uñas en gel / polygel</t>
  </si>
  <si>
    <t>Nail art (por uña)</t>
  </si>
  <si>
    <t>Retiro de acrílico o gel</t>
  </si>
  <si>
    <t>Manicure</t>
  </si>
  <si>
    <t>Manicure tradicional</t>
  </si>
  <si>
    <t>Manicure semipermanente</t>
  </si>
  <si>
    <t>Manicure spa</t>
  </si>
  <si>
    <t>Pedicure</t>
  </si>
  <si>
    <t>Pedicure tradicional</t>
  </si>
  <si>
    <t>Pedicure semipermanente</t>
  </si>
  <si>
    <t>Pedicure spa</t>
  </si>
  <si>
    <t>Pestañas y cejas</t>
  </si>
  <si>
    <t>Extensiones pelo a pelo (clásicas)</t>
  </si>
  <si>
    <t>Valeria Núñez</t>
  </si>
  <si>
    <t>Extensiones volumen ruso</t>
  </si>
  <si>
    <t>Retoque de extensiones</t>
  </si>
  <si>
    <t>Lifting de pestañas con tinte</t>
  </si>
  <si>
    <t>Diseño de cejas</t>
  </si>
  <si>
    <t>Laminado de cejas</t>
  </si>
  <si>
    <t>Facial</t>
  </si>
  <si>
    <t>Limpieza facial profunda</t>
  </si>
  <si>
    <t>Facial hidratante</t>
  </si>
  <si>
    <t>Tratamiento facial para acné (sesión)</t>
  </si>
  <si>
    <t>Despigmentación de manchas (sesión)</t>
  </si>
  <si>
    <t>Peeling químico</t>
  </si>
  <si>
    <t>Corporal</t>
  </si>
  <si>
    <t>Exfoliación corporal</t>
  </si>
  <si>
    <t>Envoltura corporal reductiva</t>
  </si>
  <si>
    <t>Drenaje linfático</t>
  </si>
  <si>
    <t>Depilación</t>
  </si>
  <si>
    <t>Cejas con cera</t>
  </si>
  <si>
    <t>Valeria Núñez, Sofía Delgado</t>
  </si>
  <si>
    <t>Bozo</t>
  </si>
  <si>
    <t>Axilas</t>
  </si>
  <si>
    <t>Media pierna</t>
  </si>
  <si>
    <t>Pierna completa</t>
  </si>
  <si>
    <t>Bikini</t>
  </si>
  <si>
    <t>Spa</t>
  </si>
  <si>
    <t>Masaje relajante</t>
  </si>
  <si>
    <t>Masaje con piedras calientes</t>
  </si>
  <si>
    <t>Masaje descontracturante</t>
  </si>
  <si>
    <t>Ritual spa (masaje + facial)</t>
  </si>
  <si>
    <t>Maquillaje</t>
  </si>
  <si>
    <t>Maquillaje social</t>
  </si>
  <si>
    <t>Ana Lucía Ríos, Valeria Núñez</t>
  </si>
  <si>
    <t>Maquillaje de novia (incluye prueba)</t>
  </si>
  <si>
    <t>Total de servicios en el catálogo</t>
  </si>
  <si>
    <t>SKU</t>
  </si>
  <si>
    <t>Producto</t>
  </si>
  <si>
    <t>Marca (ficticia)</t>
  </si>
  <si>
    <t>Uso</t>
  </si>
  <si>
    <t>Costo (B/.)</t>
  </si>
  <si>
    <t>Precio de venta (B/.)</t>
  </si>
  <si>
    <t>Margen (B/.)</t>
  </si>
  <si>
    <t>Margen %</t>
  </si>
  <si>
    <t>Stock</t>
  </si>
  <si>
    <t>Stock mínimo</t>
  </si>
  <si>
    <t>Estado</t>
  </si>
  <si>
    <t>Valor del inventario a costo (B/.)</t>
  </si>
  <si>
    <t>CAB-001</t>
  </si>
  <si>
    <t>Champú reparador de argán 300 ml</t>
  </si>
  <si>
    <t>Aurum Care</t>
  </si>
  <si>
    <t>Venta</t>
  </si>
  <si>
    <t>fotos/productos/CAB-001.webp</t>
  </si>
  <si>
    <t>CAB-002</t>
  </si>
  <si>
    <t>Acondicionador reparador de argán 300 ml</t>
  </si>
  <si>
    <t>fotos/productos/CAB-002.webp</t>
  </si>
  <si>
    <t>CAB-003</t>
  </si>
  <si>
    <t>Mascarilla capilar de keratina 250 ml</t>
  </si>
  <si>
    <t>fotos/productos/CAB-003.webp</t>
  </si>
  <si>
    <t>CAB-004</t>
  </si>
  <si>
    <t>Aceite capilar de argán 50 ml</t>
  </si>
  <si>
    <t>fotos/productos/CAB-004.webp</t>
  </si>
  <si>
    <t>CAB-005</t>
  </si>
  <si>
    <t>Protector térmico en spray 150 ml</t>
  </si>
  <si>
    <t>fotos/productos/CAB-005.webp</t>
  </si>
  <si>
    <t>CAB-006</t>
  </si>
  <si>
    <t>Champú matizador violeta 300 ml</t>
  </si>
  <si>
    <t>fotos/productos/CAB-006.webp</t>
  </si>
  <si>
    <t>CAB-007</t>
  </si>
  <si>
    <t>Sérum anti-frizz 100 ml</t>
  </si>
  <si>
    <t>fotos/productos/CAB-007.webp</t>
  </si>
  <si>
    <t>BAR-001</t>
  </si>
  <si>
    <t>Pomada mate 100 g</t>
  </si>
  <si>
    <t>Barber Co.</t>
  </si>
  <si>
    <t>fotos/productos/BAR-001.webp</t>
  </si>
  <si>
    <t>BAR-002</t>
  </si>
  <si>
    <t>Cera de brillo 100 g</t>
  </si>
  <si>
    <t>fotos/productos/BAR-002.webp</t>
  </si>
  <si>
    <t>BAR-003</t>
  </si>
  <si>
    <t>Aceite para barba 30 ml</t>
  </si>
  <si>
    <t>fotos/productos/BAR-003.webp</t>
  </si>
  <si>
    <t>BAR-004</t>
  </si>
  <si>
    <t>Bálsamo para barba 60 g</t>
  </si>
  <si>
    <t>fotos/productos/BAR-004.webp</t>
  </si>
  <si>
    <t>BAR-005</t>
  </si>
  <si>
    <t>Bálsamo after shave 100 ml</t>
  </si>
  <si>
    <t>fotos/productos/BAR-005.webp</t>
  </si>
  <si>
    <t>PIE-001</t>
  </si>
  <si>
    <t>Limpiador facial suave 200 ml</t>
  </si>
  <si>
    <t>Cuidado de la piel</t>
  </si>
  <si>
    <t>Verde Botánica</t>
  </si>
  <si>
    <t>fotos/productos/PIE-001.webp</t>
  </si>
  <si>
    <t>PIE-002</t>
  </si>
  <si>
    <t>Sérum de vitamina C 30 ml</t>
  </si>
  <si>
    <t>fotos/productos/PIE-002.webp</t>
  </si>
  <si>
    <t>PIE-003</t>
  </si>
  <si>
    <t>Crema hidratante facial 50 ml</t>
  </si>
  <si>
    <t>fotos/productos/PIE-003.webp</t>
  </si>
  <si>
    <t>PIE-004</t>
  </si>
  <si>
    <t>Protector solar FPS 50 50 ml</t>
  </si>
  <si>
    <t>fotos/productos/PIE-004.webp</t>
  </si>
  <si>
    <t>SPA-001</t>
  </si>
  <si>
    <t>Aceite corporal relajante 100 ml</t>
  </si>
  <si>
    <t>fotos/productos/SPA-001.webp</t>
  </si>
  <si>
    <t>SPA-002</t>
  </si>
  <si>
    <t>Vela aromática de soya 200 g</t>
  </si>
  <si>
    <t>fotos/productos/SPA-002.webp</t>
  </si>
  <si>
    <t>UNA-001</t>
  </si>
  <si>
    <t>Esmalte semipermanente 10 ml</t>
  </si>
  <si>
    <t>Nail Lab</t>
  </si>
  <si>
    <t>Venta y uso interno</t>
  </si>
  <si>
    <t>fotos/productos/UNA-001.webp</t>
  </si>
  <si>
    <t>UNA-002</t>
  </si>
  <si>
    <t>Aceite de cutícula 15 ml</t>
  </si>
  <si>
    <t>fotos/productos/UNA-002.webp</t>
  </si>
  <si>
    <t>UNA-003</t>
  </si>
  <si>
    <t>Crema de manos 75 ml</t>
  </si>
  <si>
    <t>fotos/productos/UNA-003.webp</t>
  </si>
  <si>
    <t>INT-001</t>
  </si>
  <si>
    <t>Tinte permanente 60 ml</t>
  </si>
  <si>
    <t>Coloración (uso interno)</t>
  </si>
  <si>
    <t>Aurum Color</t>
  </si>
  <si>
    <t>Uso interno</t>
  </si>
  <si>
    <t>fotos/productos/INT-001.webp</t>
  </si>
  <si>
    <t>INT-002</t>
  </si>
  <si>
    <t>Oxidante 20 vol 1 L</t>
  </si>
  <si>
    <t>fotos/productos/INT-002.webp</t>
  </si>
  <si>
    <t>INT-003</t>
  </si>
  <si>
    <t>Decolorante en polvo 500 g</t>
  </si>
  <si>
    <t>fotos/productos/INT-003.webp</t>
  </si>
  <si>
    <t>INT-004</t>
  </si>
  <si>
    <t>Tratamiento de keratina 1 L</t>
  </si>
  <si>
    <t>Tratamientos (uso interno)</t>
  </si>
  <si>
    <t>fotos/productos/INT-004.webp</t>
  </si>
  <si>
    <t>INT-005</t>
  </si>
  <si>
    <t>Cera depilatoria tibia 800 g</t>
  </si>
  <si>
    <t>Depilación (uso interno)</t>
  </si>
  <si>
    <t>fotos/productos/INT-005.webp</t>
  </si>
  <si>
    <t>INT-006</t>
  </si>
  <si>
    <t>Adhesivo para pestañas 5 ml</t>
  </si>
  <si>
    <t>Pestañas (uso interno)</t>
  </si>
  <si>
    <t>Lash Studio</t>
  </si>
  <si>
    <t>fotos/productos/INT-006.webp</t>
  </si>
  <si>
    <t>INT-007</t>
  </si>
  <si>
    <t>Bandeja de extensiones de pestañas</t>
  </si>
  <si>
    <t>fotos/productos/INT-007.webp</t>
  </si>
  <si>
    <t>INT-008</t>
  </si>
  <si>
    <t>Gel exfoliante de cabina 500 ml</t>
  </si>
  <si>
    <t>fotos/productos/INT-008.webp</t>
  </si>
  <si>
    <t>INT-009</t>
  </si>
  <si>
    <t>Hojas de afeitar (caja de 100)</t>
  </si>
  <si>
    <t>Barbería (uso interno)</t>
  </si>
  <si>
    <t>fotos/productos/INT-009.webp</t>
  </si>
  <si>
    <t>INT-010</t>
  </si>
  <si>
    <t>Toallas desechables (paquete de 100)</t>
  </si>
  <si>
    <t>Insumos (uso interno)</t>
  </si>
  <si>
    <t>Genérico</t>
  </si>
  <si>
    <t>fotos/productos/INT-010.webp</t>
  </si>
  <si>
    <t>Totales</t>
  </si>
  <si>
    <t>Cliente</t>
  </si>
  <si>
    <t>Procedimiento</t>
  </si>
  <si>
    <t>Sesiones</t>
  </si>
  <si>
    <t>Cada (días)</t>
  </si>
  <si>
    <t>Precio por sesión (B/.)</t>
  </si>
  <si>
    <t>Total del plan (B/.)</t>
  </si>
  <si>
    <t>Fecha de inicio</t>
  </si>
  <si>
    <t>Completadas</t>
  </si>
  <si>
    <t>Progreso</t>
  </si>
  <si>
    <t>Fotos de avance</t>
  </si>
  <si>
    <t>Gabriela Sánchez</t>
  </si>
  <si>
    <t>fotos/tratamientos/acne-1-antes … -4-despues.webp</t>
  </si>
  <si>
    <t>Luis Batista</t>
  </si>
  <si>
    <t>Ana Lucía Ríos</t>
  </si>
  <si>
    <t>fotos/tratamientos/capilar-1-antes … -4-despues.webp</t>
  </si>
  <si>
    <t>Carolina Vega</t>
  </si>
  <si>
    <t>fotos/tratamientos/manchas-1-antes … -4-despues.webp</t>
  </si>
  <si>
    <t>Patricia Morales</t>
  </si>
  <si>
    <t>fotos/tratamientos/keratina-1-antes … -4-despues.webp</t>
  </si>
  <si>
    <t>Sesión</t>
  </si>
  <si>
    <t>Fecha</t>
  </si>
  <si>
    <t>Pago</t>
  </si>
  <si>
    <t>Completada</t>
  </si>
  <si>
    <t>Pagada</t>
  </si>
  <si>
    <t>fotos/tratamientos/acne-1-antes.webp</t>
  </si>
  <si>
    <t>fotos/tratamientos/acne-2-avance.webp</t>
  </si>
  <si>
    <t>fotos/tratamientos/acne-3-avance.webp</t>
  </si>
  <si>
    <t>Pendiente</t>
  </si>
  <si>
    <t>No pagada</t>
  </si>
  <si>
    <t>fotos/tratamientos/capilar-1-antes.webp</t>
  </si>
  <si>
    <t>fotos/tratamientos/capilar-2-avance.webp</t>
  </si>
  <si>
    <t>fotos/tratamientos/capilar-3-avance.webp</t>
  </si>
  <si>
    <t>fotos/tratamientos/manchas-1-antes.webp</t>
  </si>
  <si>
    <t>fotos/tratamientos/manchas-2-avance.webp</t>
  </si>
  <si>
    <t>fotos/tratamientos/manchas-3-avance.webp</t>
  </si>
  <si>
    <t>fotos/tratamientos/keratina-1-antes.webp</t>
  </si>
  <si>
    <t>fotos/tratamientos/keratina-2-avance.webp</t>
  </si>
  <si>
    <t>fotos/tratamientos/keratina-3-avance.webp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</si>
</sst>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;(0.0%);-"/>
    <numFmt numFmtId="165" formatCode="dd/mm/yyyy"/>
    <numFmt numFmtId="166" formatCode="&quot;B/.&quot; #,##0.00;(&quot;B/.&quot; #,##0.00);-"/>
  </numFmts>
  <fonts count="7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0"/>
      <name val="Arial"/>
    </font>
    <font>
      <b/>
      <sz val="10"/>
      <name val="Arial"/>
    </font>
    <font>
      <color rgb="FF0000FF"/>
      <sz val="10"/>
      <name val="Arial"/>
    </font>
    <font>
      <b/>
      <color rgb="FFF6F1E9"/>
      <sz val="10"/>
      <name val="Arial"/>
    </font>
    <font>
      <color rgb="FF00800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B0B0B"/>
      </patternFill>
    </fill>
    <fill>
      <patternFill patternType="solid">
        <fgColor rgb="FFC9A15B"/>
      </patternFill>
    </fill>
    <fill>
      <patternFill patternType="solid">
        <fgColor rgb="FF8E7DBE"/>
      </patternFill>
    </fill>
    <fill>
      <patternFill patternType="solid">
        <fgColor rgb="FF2E86AB"/>
      </patternFill>
    </fill>
    <fill>
      <patternFill patternType="solid">
        <fgColor rgb="FFD1495B"/>
      </patternFill>
    </fill>
    <fill>
      <patternFill patternType="solid">
        <fgColor rgb="FF00798C"/>
      </patternFill>
    </fill>
    <fill>
      <patternFill patternType="solid">
        <fgColor rgb="FFEDAE49"/>
      </patternFill>
    </fill>
    <fill>
      <patternFill patternType="solid">
        <fgColor rgb="FF6A994E"/>
      </patternFill>
    </fill>
    <fill>
      <patternFill patternType="solid">
        <fgColor rgb="FF7D84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9" fontId="4" fillId="2" borderId="0" xfId="0" applyNumberFormat="1" applyFont="1" applyFill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165" fontId="4" fillId="0" borderId="0" xfId="0" applyNumberFormat="1" applyFont="1"/>
    <xf numFmtId="166" fontId="4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166" fontId="6" fillId="0" borderId="0" xfId="0" applyNumberFormat="1" applyFont="1"/>
    <xf numFmtId="166" fontId="3" fillId="0" borderId="0" xfId="0" applyNumberFormat="1" applyFont="1"/>
    <xf numFmtId="9" fontId="2" fillId="0" borderId="0" xfId="0" applyNumberFormat="1" applyFont="1"/>
    <xf numFmtId="0" fontId="6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9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3" t="s">
        <v>10</v>
      </c>
      <c r="B7" s="2" t="s">
        <v>11</v>
      </c>
    </row>
    <row r="8" spans="1:2" x14ac:dyDescent="0.25">
      <c r="A8" s="3" t="s">
        <v>1</v>
      </c>
      <c r="B8" s="2" t="s">
        <v>1</v>
      </c>
    </row>
    <row r="9" spans="1:2" x14ac:dyDescent="0.25">
      <c r="A9" s="3" t="s">
        <v>12</v>
      </c>
      <c r="B9" s="2" t="s">
        <v>1</v>
      </c>
    </row>
    <row r="10" spans="1:2" x14ac:dyDescent="0.25">
      <c r="A10" s="3" t="s">
        <v>13</v>
      </c>
      <c r="B10" s="4">
        <v>0.07</v>
      </c>
    </row>
    <row r="11" spans="1:2" x14ac:dyDescent="0.25">
      <c r="A11" s="3" t="s">
        <v>14</v>
      </c>
      <c r="B11" s="2" t="s">
        <v>15</v>
      </c>
    </row>
    <row r="12" spans="1:2" x14ac:dyDescent="0.25">
      <c r="A12" s="3" t="s">
        <v>16</v>
      </c>
      <c r="B1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4" customWidth="1"/>
    <col min="4" max="4" width="8" customWidth="1"/>
    <col min="5" max="5" width="7" customWidth="1"/>
    <col min="6" max="6" width="16" customWidth="1"/>
    <col min="7" max="7" width="26" customWidth="1"/>
    <col min="8" max="8" width="11" customWidth="1"/>
    <col min="9" max="10" width="12" customWidth="1"/>
    <col min="11" max="11" width="38" customWidth="1"/>
    <col min="12" max="12" width="11" customWidth="1"/>
    <col min="13" max="13" width="30" customWidth="1"/>
  </cols>
  <sheetData>
    <row r="1" ht="30" customHeight="1" spans="1:13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spans="1:13" x14ac:dyDescent="0.25">
      <c r="A2" s="6" t="s">
        <v>31</v>
      </c>
      <c r="B2" s="7" t="s">
        <v>32</v>
      </c>
      <c r="C2" s="7" t="s">
        <v>33</v>
      </c>
      <c r="D2" s="6" t="s">
        <v>34</v>
      </c>
      <c r="E2" s="7">
        <v>41</v>
      </c>
      <c r="F2" s="6" t="s">
        <v>35</v>
      </c>
      <c r="G2" s="6" t="s">
        <v>36</v>
      </c>
      <c r="H2" s="8">
        <v>0</v>
      </c>
      <c r="I2" s="6" t="s">
        <v>37</v>
      </c>
      <c r="J2" s="6" t="s">
        <v>38</v>
      </c>
      <c r="K2" s="6" t="s">
        <v>39</v>
      </c>
      <c r="L2" s="9" t="s">
        <v>40</v>
      </c>
      <c r="M2" s="6" t="s">
        <v>41</v>
      </c>
    </row>
    <row r="3" spans="1:13" x14ac:dyDescent="0.25">
      <c r="A3" s="6" t="s">
        <v>42</v>
      </c>
      <c r="B3" s="7" t="s">
        <v>43</v>
      </c>
      <c r="C3" s="7" t="s">
        <v>44</v>
      </c>
      <c r="D3" s="6" t="s">
        <v>34</v>
      </c>
      <c r="E3" s="7">
        <v>26</v>
      </c>
      <c r="F3" s="6" t="s">
        <v>45</v>
      </c>
      <c r="G3" s="6" t="s">
        <v>46</v>
      </c>
      <c r="H3" s="8">
        <v>0</v>
      </c>
      <c r="I3" s="6" t="s">
        <v>37</v>
      </c>
      <c r="J3" s="6" t="s">
        <v>38</v>
      </c>
      <c r="K3" s="6" t="s">
        <v>47</v>
      </c>
      <c r="L3" s="10" t="s">
        <v>48</v>
      </c>
      <c r="M3" s="6" t="s">
        <v>49</v>
      </c>
    </row>
    <row r="4" spans="1:13" x14ac:dyDescent="0.25">
      <c r="A4" s="6" t="s">
        <v>50</v>
      </c>
      <c r="B4" s="7" t="s">
        <v>51</v>
      </c>
      <c r="C4" s="7" t="s">
        <v>52</v>
      </c>
      <c r="D4" s="6" t="s">
        <v>53</v>
      </c>
      <c r="E4" s="7">
        <v>32</v>
      </c>
      <c r="F4" s="6" t="s">
        <v>54</v>
      </c>
      <c r="G4" s="6" t="s">
        <v>55</v>
      </c>
      <c r="H4" s="8">
        <v>0.4</v>
      </c>
      <c r="I4" s="6" t="s">
        <v>38</v>
      </c>
      <c r="J4" s="6" t="s">
        <v>38</v>
      </c>
      <c r="K4" s="6" t="s">
        <v>56</v>
      </c>
      <c r="L4" s="11" t="s">
        <v>57</v>
      </c>
      <c r="M4" s="6" t="s">
        <v>58</v>
      </c>
    </row>
    <row r="5" spans="1:13" x14ac:dyDescent="0.25">
      <c r="A5" s="6" t="s">
        <v>59</v>
      </c>
      <c r="B5" s="7" t="s">
        <v>60</v>
      </c>
      <c r="C5" s="7" t="s">
        <v>61</v>
      </c>
      <c r="D5" s="6" t="s">
        <v>34</v>
      </c>
      <c r="E5" s="7">
        <v>35</v>
      </c>
      <c r="F5" s="6" t="s">
        <v>54</v>
      </c>
      <c r="G5" s="6" t="s">
        <v>62</v>
      </c>
      <c r="H5" s="8">
        <v>0.35</v>
      </c>
      <c r="I5" s="6" t="s">
        <v>38</v>
      </c>
      <c r="J5" s="6" t="s">
        <v>38</v>
      </c>
      <c r="K5" s="6" t="s">
        <v>63</v>
      </c>
      <c r="L5" s="12" t="s">
        <v>64</v>
      </c>
      <c r="M5" s="6" t="s">
        <v>65</v>
      </c>
    </row>
    <row r="6" spans="1:13" x14ac:dyDescent="0.25">
      <c r="A6" s="6" t="s">
        <v>66</v>
      </c>
      <c r="B6" s="7" t="s">
        <v>67</v>
      </c>
      <c r="C6" s="7" t="s">
        <v>68</v>
      </c>
      <c r="D6" s="6" t="s">
        <v>53</v>
      </c>
      <c r="E6" s="7">
        <v>29</v>
      </c>
      <c r="F6" s="6" t="s">
        <v>54</v>
      </c>
      <c r="G6" s="6" t="s">
        <v>69</v>
      </c>
      <c r="H6" s="8">
        <v>0.35</v>
      </c>
      <c r="I6" s="6" t="s">
        <v>38</v>
      </c>
      <c r="J6" s="6" t="s">
        <v>37</v>
      </c>
      <c r="K6" s="6" t="s">
        <v>70</v>
      </c>
      <c r="L6" s="13" t="s">
        <v>71</v>
      </c>
      <c r="M6" s="6" t="s">
        <v>72</v>
      </c>
    </row>
    <row r="7" spans="1:13" x14ac:dyDescent="0.25">
      <c r="A7" s="6" t="s">
        <v>73</v>
      </c>
      <c r="B7" s="7" t="s">
        <v>74</v>
      </c>
      <c r="C7" s="7" t="s">
        <v>75</v>
      </c>
      <c r="D7" s="6" t="s">
        <v>34</v>
      </c>
      <c r="E7" s="7">
        <v>24</v>
      </c>
      <c r="F7" s="6" t="s">
        <v>54</v>
      </c>
      <c r="G7" s="6" t="s">
        <v>76</v>
      </c>
      <c r="H7" s="8">
        <v>0.3</v>
      </c>
      <c r="I7" s="6" t="s">
        <v>38</v>
      </c>
      <c r="J7" s="6" t="s">
        <v>38</v>
      </c>
      <c r="K7" s="6" t="s">
        <v>77</v>
      </c>
      <c r="L7" s="14" t="s">
        <v>78</v>
      </c>
      <c r="M7" s="6" t="s">
        <v>79</v>
      </c>
    </row>
    <row r="8" spans="1:13" x14ac:dyDescent="0.25">
      <c r="A8" s="6" t="s">
        <v>80</v>
      </c>
      <c r="B8" s="7" t="s">
        <v>81</v>
      </c>
      <c r="C8" s="7" t="s">
        <v>82</v>
      </c>
      <c r="D8" s="6" t="s">
        <v>34</v>
      </c>
      <c r="E8" s="7">
        <v>38</v>
      </c>
      <c r="F8" s="6" t="s">
        <v>54</v>
      </c>
      <c r="G8" s="6" t="s">
        <v>83</v>
      </c>
      <c r="H8" s="8">
        <v>0.3</v>
      </c>
      <c r="I8" s="6" t="s">
        <v>38</v>
      </c>
      <c r="J8" s="6" t="s">
        <v>38</v>
      </c>
      <c r="K8" s="6" t="s">
        <v>84</v>
      </c>
      <c r="L8" s="15" t="s">
        <v>85</v>
      </c>
      <c r="M8" s="6" t="s">
        <v>86</v>
      </c>
    </row>
    <row r="9" spans="1:13" x14ac:dyDescent="0.25">
      <c r="A9" s="6" t="s">
        <v>87</v>
      </c>
      <c r="B9" s="7" t="s">
        <v>88</v>
      </c>
      <c r="C9" s="7" t="s">
        <v>89</v>
      </c>
      <c r="D9" s="6" t="s">
        <v>53</v>
      </c>
      <c r="E9" s="7">
        <v>21</v>
      </c>
      <c r="F9" s="6" t="s">
        <v>90</v>
      </c>
      <c r="G9" s="6" t="s">
        <v>91</v>
      </c>
      <c r="H9" s="8">
        <v>0.05</v>
      </c>
      <c r="I9" s="6" t="s">
        <v>37</v>
      </c>
      <c r="J9" s="6" t="s">
        <v>38</v>
      </c>
      <c r="K9" s="6" t="s">
        <v>92</v>
      </c>
      <c r="L9" s="16" t="s">
        <v>93</v>
      </c>
      <c r="M9" s="6" t="s">
        <v>94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4" customWidth="1"/>
    <col min="4" max="4" width="8" customWidth="1"/>
    <col min="5" max="5" width="13" customWidth="1"/>
    <col min="6" max="6" width="7" customWidth="1"/>
    <col min="7" max="7" width="15" customWidth="1"/>
    <col min="8" max="8" width="36" customWidth="1"/>
    <col min="9" max="9" width="13" customWidth="1"/>
    <col min="10" max="10" width="12" customWidth="1"/>
    <col min="11" max="11" width="34" customWidth="1"/>
    <col min="12" max="12" width="26" customWidth="1"/>
  </cols>
  <sheetData>
    <row r="1" ht="30" customHeight="1" spans="1:12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95</v>
      </c>
      <c r="F1" s="5" t="s">
        <v>22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30</v>
      </c>
    </row>
    <row r="2" spans="1:12" x14ac:dyDescent="0.25">
      <c r="A2" s="6" t="s">
        <v>101</v>
      </c>
      <c r="B2" s="7" t="s">
        <v>102</v>
      </c>
      <c r="C2" s="7" t="s">
        <v>103</v>
      </c>
      <c r="D2" s="6" t="s">
        <v>34</v>
      </c>
      <c r="E2" s="17">
        <v>33677</v>
      </c>
      <c r="F2" s="6">
        <f>DATEDIF(E2,TODAY(),"Y")</f>
        <v>34</v>
      </c>
      <c r="G2" s="7" t="s">
        <v>104</v>
      </c>
      <c r="H2" s="6" t="s">
        <v>105</v>
      </c>
      <c r="I2" s="6" t="s">
        <v>38</v>
      </c>
      <c r="J2" s="6" t="s">
        <v>38</v>
      </c>
      <c r="K2" s="6" t="s">
        <v>106</v>
      </c>
      <c r="L2" s="6" t="s">
        <v>107</v>
      </c>
    </row>
    <row r="3" spans="1:12" x14ac:dyDescent="0.25">
      <c r="A3" s="6" t="s">
        <v>108</v>
      </c>
      <c r="B3" s="7" t="s">
        <v>109</v>
      </c>
      <c r="C3" s="7" t="s">
        <v>110</v>
      </c>
      <c r="D3" s="6" t="s">
        <v>53</v>
      </c>
      <c r="E3" s="17">
        <v>30499</v>
      </c>
      <c r="F3" s="6">
        <f>DATEDIF(E3,TODAY(),"Y")</f>
        <v>43</v>
      </c>
      <c r="G3" s="7" t="s">
        <v>111</v>
      </c>
      <c r="H3" s="6" t="s">
        <v>112</v>
      </c>
      <c r="I3" s="6" t="s">
        <v>38</v>
      </c>
      <c r="J3" s="6" t="s">
        <v>38</v>
      </c>
      <c r="K3" s="6" t="s">
        <v>113</v>
      </c>
      <c r="L3" s="6" t="s">
        <v>114</v>
      </c>
    </row>
    <row r="4" spans="1:12" x14ac:dyDescent="0.25">
      <c r="A4" s="6" t="s">
        <v>115</v>
      </c>
      <c r="B4" s="7" t="s">
        <v>116</v>
      </c>
      <c r="C4" s="7" t="s">
        <v>117</v>
      </c>
      <c r="D4" s="6" t="s">
        <v>34</v>
      </c>
      <c r="E4" s="17">
        <v>35724</v>
      </c>
      <c r="F4" s="6">
        <f>DATEDIF(E4,TODAY(),"Y")</f>
        <v>28</v>
      </c>
      <c r="G4" s="7" t="s">
        <v>118</v>
      </c>
      <c r="H4" s="6" t="s">
        <v>119</v>
      </c>
      <c r="I4" s="6" t="s">
        <v>38</v>
      </c>
      <c r="J4" s="6" t="s">
        <v>38</v>
      </c>
      <c r="K4" s="6" t="s">
        <v>120</v>
      </c>
      <c r="L4" s="6" t="s">
        <v>121</v>
      </c>
    </row>
    <row r="5" spans="1:12" x14ac:dyDescent="0.25">
      <c r="A5" s="6" t="s">
        <v>122</v>
      </c>
      <c r="B5" s="7" t="s">
        <v>123</v>
      </c>
      <c r="C5" s="7" t="s">
        <v>124</v>
      </c>
      <c r="D5" s="6" t="s">
        <v>34</v>
      </c>
      <c r="E5" s="17">
        <v>29560</v>
      </c>
      <c r="F5" s="6">
        <f>DATEDIF(E5,TODAY(),"Y")</f>
        <v>45</v>
      </c>
      <c r="G5" s="7" t="s">
        <v>125</v>
      </c>
      <c r="H5" s="6" t="s">
        <v>126</v>
      </c>
      <c r="I5" s="6" t="s">
        <v>37</v>
      </c>
      <c r="J5" s="6" t="s">
        <v>38</v>
      </c>
      <c r="K5" s="6" t="s">
        <v>127</v>
      </c>
      <c r="L5" s="6" t="s">
        <v>128</v>
      </c>
    </row>
    <row r="6" spans="1:12" x14ac:dyDescent="0.25">
      <c r="A6" s="6" t="s">
        <v>129</v>
      </c>
      <c r="B6" s="7" t="s">
        <v>130</v>
      </c>
      <c r="C6" s="7" t="s">
        <v>131</v>
      </c>
      <c r="D6" s="6" t="s">
        <v>53</v>
      </c>
      <c r="E6" s="17">
        <v>34849</v>
      </c>
      <c r="F6" s="6">
        <f>DATEDIF(E6,TODAY(),"Y")</f>
        <v>31</v>
      </c>
      <c r="G6" s="7" t="s">
        <v>132</v>
      </c>
      <c r="H6" s="6" t="s">
        <v>133</v>
      </c>
      <c r="I6" s="6" t="s">
        <v>38</v>
      </c>
      <c r="J6" s="6" t="s">
        <v>38</v>
      </c>
      <c r="K6" s="6" t="s">
        <v>70</v>
      </c>
      <c r="L6" s="6" t="s">
        <v>134</v>
      </c>
    </row>
    <row r="7" spans="1:12" x14ac:dyDescent="0.25">
      <c r="A7" s="6" t="s">
        <v>135</v>
      </c>
      <c r="B7" s="7" t="s">
        <v>136</v>
      </c>
      <c r="C7" s="7" t="s">
        <v>137</v>
      </c>
      <c r="D7" s="6" t="s">
        <v>34</v>
      </c>
      <c r="E7" s="17">
        <v>36933</v>
      </c>
      <c r="F7" s="6">
        <f>DATEDIF(E7,TODAY(),"Y")</f>
        <v>25</v>
      </c>
      <c r="G7" s="7" t="s">
        <v>138</v>
      </c>
      <c r="H7" s="6" t="s">
        <v>139</v>
      </c>
      <c r="I7" s="6" t="s">
        <v>38</v>
      </c>
      <c r="J7" s="6" t="s">
        <v>37</v>
      </c>
      <c r="K7" s="6" t="s">
        <v>70</v>
      </c>
      <c r="L7" s="6" t="s">
        <v>140</v>
      </c>
    </row>
    <row r="8" spans="1:12" x14ac:dyDescent="0.25">
      <c r="A8" s="6" t="s">
        <v>141</v>
      </c>
      <c r="B8" s="7" t="s">
        <v>142</v>
      </c>
      <c r="C8" s="7" t="s">
        <v>143</v>
      </c>
      <c r="D8" s="6" t="s">
        <v>53</v>
      </c>
      <c r="E8" s="17">
        <v>24368</v>
      </c>
      <c r="F8" s="6">
        <f>DATEDIF(E8,TODAY(),"Y")</f>
        <v>60</v>
      </c>
      <c r="G8" s="7" t="s">
        <v>144</v>
      </c>
      <c r="H8" s="6" t="s">
        <v>145</v>
      </c>
      <c r="I8" s="6" t="s">
        <v>38</v>
      </c>
      <c r="J8" s="6" t="s">
        <v>38</v>
      </c>
      <c r="K8" s="6" t="s">
        <v>70</v>
      </c>
      <c r="L8" s="6" t="s">
        <v>146</v>
      </c>
    </row>
    <row r="9" spans="1:12" x14ac:dyDescent="0.25">
      <c r="A9" s="6" t="s">
        <v>147</v>
      </c>
      <c r="B9" s="7" t="s">
        <v>148</v>
      </c>
      <c r="C9" s="7" t="s">
        <v>149</v>
      </c>
      <c r="D9" s="6" t="s">
        <v>34</v>
      </c>
      <c r="E9" s="17">
        <v>32258</v>
      </c>
      <c r="F9" s="6">
        <f>DATEDIF(E9,TODAY(),"Y")</f>
        <v>38</v>
      </c>
      <c r="G9" s="7" t="s">
        <v>150</v>
      </c>
      <c r="H9" s="6" t="s">
        <v>151</v>
      </c>
      <c r="I9" s="6" t="s">
        <v>38</v>
      </c>
      <c r="J9" s="6" t="s">
        <v>38</v>
      </c>
      <c r="K9" s="6" t="s">
        <v>70</v>
      </c>
      <c r="L9" s="6" t="s">
        <v>152</v>
      </c>
    </row>
    <row r="10" spans="1:12" x14ac:dyDescent="0.25">
      <c r="A10" s="6" t="s">
        <v>153</v>
      </c>
      <c r="B10" s="7" t="s">
        <v>154</v>
      </c>
      <c r="C10" s="7" t="s">
        <v>155</v>
      </c>
      <c r="D10" s="6" t="s">
        <v>53</v>
      </c>
      <c r="E10" s="17">
        <v>38299</v>
      </c>
      <c r="F10" s="6">
        <f>DATEDIF(E10,TODAY(),"Y")</f>
        <v>21</v>
      </c>
      <c r="G10" s="7" t="s">
        <v>156</v>
      </c>
      <c r="H10" s="6" t="s">
        <v>157</v>
      </c>
      <c r="I10" s="6" t="s">
        <v>37</v>
      </c>
      <c r="J10" s="6" t="s">
        <v>38</v>
      </c>
      <c r="K10" s="6" t="s">
        <v>70</v>
      </c>
      <c r="L10" s="6" t="s">
        <v>158</v>
      </c>
    </row>
    <row r="11" spans="1:12" x14ac:dyDescent="0.25">
      <c r="A11" s="6" t="s">
        <v>159</v>
      </c>
      <c r="B11" s="7" t="s">
        <v>160</v>
      </c>
      <c r="C11" s="7" t="s">
        <v>161</v>
      </c>
      <c r="D11" s="6" t="s">
        <v>34</v>
      </c>
      <c r="E11" s="17">
        <v>22079</v>
      </c>
      <c r="F11" s="6">
        <f>DATEDIF(E11,TODAY(),"Y")</f>
        <v>66</v>
      </c>
      <c r="G11" s="7" t="s">
        <v>162</v>
      </c>
      <c r="H11" s="6" t="s">
        <v>163</v>
      </c>
      <c r="I11" s="6" t="s">
        <v>38</v>
      </c>
      <c r="J11" s="6" t="s">
        <v>37</v>
      </c>
      <c r="K11" s="6" t="s">
        <v>70</v>
      </c>
      <c r="L11" s="6" t="s">
        <v>164</v>
      </c>
    </row>
    <row r="12" spans="1:12" x14ac:dyDescent="0.25">
      <c r="A12" s="6" t="s">
        <v>165</v>
      </c>
      <c r="B12" s="7" t="s">
        <v>166</v>
      </c>
      <c r="C12" s="7" t="s">
        <v>167</v>
      </c>
      <c r="D12" s="6" t="s">
        <v>53</v>
      </c>
      <c r="E12" s="17">
        <v>28517</v>
      </c>
      <c r="F12" s="6">
        <f>DATEDIF(E12,TODAY(),"Y")</f>
        <v>48</v>
      </c>
      <c r="G12" s="7" t="s">
        <v>168</v>
      </c>
      <c r="H12" s="6" t="s">
        <v>169</v>
      </c>
      <c r="I12" s="6" t="s">
        <v>38</v>
      </c>
      <c r="J12" s="6" t="s">
        <v>38</v>
      </c>
      <c r="K12" s="6" t="s">
        <v>70</v>
      </c>
      <c r="L12" s="6" t="s">
        <v>170</v>
      </c>
    </row>
    <row r="13" spans="1:12" x14ac:dyDescent="0.25">
      <c r="A13" s="6" t="s">
        <v>171</v>
      </c>
      <c r="B13" s="7" t="s">
        <v>172</v>
      </c>
      <c r="C13" s="7" t="s">
        <v>173</v>
      </c>
      <c r="D13" s="6" t="s">
        <v>34</v>
      </c>
      <c r="E13" s="17">
        <v>36375</v>
      </c>
      <c r="F13" s="6">
        <f>DATEDIF(E13,TODAY(),"Y")</f>
        <v>27</v>
      </c>
      <c r="G13" s="7" t="s">
        <v>174</v>
      </c>
      <c r="H13" s="6" t="s">
        <v>175</v>
      </c>
      <c r="I13" s="6" t="s">
        <v>38</v>
      </c>
      <c r="J13" s="6" t="s">
        <v>38</v>
      </c>
      <c r="K13" s="6" t="s">
        <v>70</v>
      </c>
      <c r="L13" s="6" t="s">
        <v>176</v>
      </c>
    </row>
    <row r="14" spans="1:12" x14ac:dyDescent="0.25">
      <c r="A14" s="6" t="s">
        <v>177</v>
      </c>
      <c r="B14" s="7" t="s">
        <v>178</v>
      </c>
      <c r="C14" s="7" t="s">
        <v>179</v>
      </c>
      <c r="D14" s="6" t="s">
        <v>53</v>
      </c>
      <c r="E14" s="17">
        <v>32961</v>
      </c>
      <c r="F14" s="6">
        <f>DATEDIF(E14,TODAY(),"Y")</f>
        <v>36</v>
      </c>
      <c r="G14" s="7" t="s">
        <v>180</v>
      </c>
      <c r="H14" s="6" t="s">
        <v>181</v>
      </c>
      <c r="I14" s="6" t="s">
        <v>38</v>
      </c>
      <c r="J14" s="6" t="s">
        <v>38</v>
      </c>
      <c r="K14" s="6" t="s">
        <v>70</v>
      </c>
      <c r="L14" s="6" t="s">
        <v>182</v>
      </c>
    </row>
    <row r="15" spans="1:12" x14ac:dyDescent="0.25">
      <c r="A15" s="6" t="s">
        <v>183</v>
      </c>
      <c r="B15" s="7" t="s">
        <v>184</v>
      </c>
      <c r="C15" s="7" t="s">
        <v>185</v>
      </c>
      <c r="D15" s="6" t="s">
        <v>34</v>
      </c>
      <c r="E15" s="17">
        <v>31337</v>
      </c>
      <c r="F15" s="6">
        <f>DATEDIF(E15,TODAY(),"Y")</f>
        <v>40</v>
      </c>
      <c r="G15" s="7" t="s">
        <v>186</v>
      </c>
      <c r="H15" s="6" t="s">
        <v>187</v>
      </c>
      <c r="I15" s="6" t="s">
        <v>37</v>
      </c>
      <c r="J15" s="6" t="s">
        <v>37</v>
      </c>
      <c r="K15" s="6" t="s">
        <v>70</v>
      </c>
      <c r="L15" s="6" t="s">
        <v>188</v>
      </c>
    </row>
    <row r="16" spans="1:12" x14ac:dyDescent="0.25">
      <c r="A16" s="6" t="s">
        <v>189</v>
      </c>
      <c r="B16" s="7" t="s">
        <v>190</v>
      </c>
      <c r="C16" s="7" t="s">
        <v>191</v>
      </c>
      <c r="D16" s="6" t="s">
        <v>53</v>
      </c>
      <c r="E16" s="17">
        <v>34325</v>
      </c>
      <c r="F16" s="6">
        <f>DATEDIF(E16,TODAY(),"Y")</f>
        <v>32</v>
      </c>
      <c r="G16" s="7" t="s">
        <v>192</v>
      </c>
      <c r="H16" s="6" t="s">
        <v>193</v>
      </c>
      <c r="I16" s="6" t="s">
        <v>38</v>
      </c>
      <c r="J16" s="6" t="s">
        <v>38</v>
      </c>
      <c r="K16" s="6" t="s">
        <v>70</v>
      </c>
      <c r="L16" s="6" t="s">
        <v>194</v>
      </c>
    </row>
    <row r="17" spans="1:12" x14ac:dyDescent="0.25">
      <c r="A17" s="6" t="s">
        <v>195</v>
      </c>
      <c r="B17" s="7" t="s">
        <v>196</v>
      </c>
      <c r="C17" s="7" t="s">
        <v>197</v>
      </c>
      <c r="D17" s="6" t="s">
        <v>34</v>
      </c>
      <c r="E17" s="17">
        <v>38846</v>
      </c>
      <c r="F17" s="6">
        <f>DATEDIF(E17,TODAY(),"Y")</f>
        <v>20</v>
      </c>
      <c r="G17" s="7" t="s">
        <v>198</v>
      </c>
      <c r="H17" s="6" t="s">
        <v>199</v>
      </c>
      <c r="I17" s="6" t="s">
        <v>38</v>
      </c>
      <c r="J17" s="6" t="s">
        <v>38</v>
      </c>
      <c r="K17" s="6" t="s">
        <v>70</v>
      </c>
      <c r="L17" s="6" t="s">
        <v>200</v>
      </c>
    </row>
    <row r="18" spans="1:12" x14ac:dyDescent="0.25">
      <c r="A18" s="6" t="s">
        <v>201</v>
      </c>
      <c r="B18" s="7" t="s">
        <v>202</v>
      </c>
      <c r="C18" s="7" t="s">
        <v>203</v>
      </c>
      <c r="D18" s="6" t="s">
        <v>53</v>
      </c>
      <c r="E18" s="17">
        <v>26159</v>
      </c>
      <c r="F18" s="6">
        <f>DATEDIF(E18,TODAY(),"Y")</f>
        <v>55</v>
      </c>
      <c r="G18" s="7" t="s">
        <v>204</v>
      </c>
      <c r="H18" s="6" t="s">
        <v>205</v>
      </c>
      <c r="I18" s="6" t="s">
        <v>38</v>
      </c>
      <c r="J18" s="6" t="s">
        <v>38</v>
      </c>
      <c r="K18" s="6" t="s">
        <v>70</v>
      </c>
      <c r="L18" s="6" t="s">
        <v>206</v>
      </c>
    </row>
    <row r="19" spans="1:12" x14ac:dyDescent="0.25">
      <c r="A19" s="6" t="s">
        <v>207</v>
      </c>
      <c r="B19" s="7" t="s">
        <v>208</v>
      </c>
      <c r="C19" s="7" t="s">
        <v>209</v>
      </c>
      <c r="D19" s="6" t="s">
        <v>34</v>
      </c>
      <c r="E19" s="17">
        <v>34393</v>
      </c>
      <c r="F19" s="6">
        <f>DATEDIF(E19,TODAY(),"Y")</f>
        <v>32</v>
      </c>
      <c r="G19" s="7" t="s">
        <v>210</v>
      </c>
      <c r="H19" s="6" t="s">
        <v>211</v>
      </c>
      <c r="I19" s="6" t="s">
        <v>38</v>
      </c>
      <c r="J19" s="6" t="s">
        <v>37</v>
      </c>
      <c r="K19" s="6" t="s">
        <v>70</v>
      </c>
      <c r="L19" s="6" t="s">
        <v>212</v>
      </c>
    </row>
    <row r="20" spans="1:12" x14ac:dyDescent="0.25">
      <c r="A20" s="6" t="s">
        <v>213</v>
      </c>
      <c r="B20" s="7" t="s">
        <v>214</v>
      </c>
      <c r="C20" s="7" t="s">
        <v>215</v>
      </c>
      <c r="D20" s="6" t="s">
        <v>53</v>
      </c>
      <c r="E20" s="17">
        <v>31934</v>
      </c>
      <c r="F20" s="6">
        <f>DATEDIF(E20,TODAY(),"Y")</f>
        <v>39</v>
      </c>
      <c r="G20" s="7" t="s">
        <v>216</v>
      </c>
      <c r="H20" s="6" t="s">
        <v>217</v>
      </c>
      <c r="I20" s="6" t="s">
        <v>37</v>
      </c>
      <c r="J20" s="6" t="s">
        <v>38</v>
      </c>
      <c r="K20" s="6" t="s">
        <v>70</v>
      </c>
      <c r="L20" s="6" t="s">
        <v>218</v>
      </c>
    </row>
    <row r="21" spans="1:12" x14ac:dyDescent="0.25">
      <c r="A21" s="6" t="s">
        <v>219</v>
      </c>
      <c r="B21" s="7" t="s">
        <v>43</v>
      </c>
      <c r="C21" s="7" t="s">
        <v>220</v>
      </c>
      <c r="D21" s="6" t="s">
        <v>34</v>
      </c>
      <c r="E21" s="17">
        <v>28004</v>
      </c>
      <c r="F21" s="6">
        <f>DATEDIF(E21,TODAY(),"Y")</f>
        <v>50</v>
      </c>
      <c r="G21" s="7" t="s">
        <v>221</v>
      </c>
      <c r="H21" s="6" t="s">
        <v>222</v>
      </c>
      <c r="I21" s="6" t="s">
        <v>38</v>
      </c>
      <c r="J21" s="6" t="s">
        <v>38</v>
      </c>
      <c r="K21" s="6" t="s">
        <v>70</v>
      </c>
      <c r="L21" s="6" t="s">
        <v>223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10" customWidth="1"/>
    <col min="4" max="4" width="12" customWidth="1"/>
    <col min="5" max="5" width="13" customWidth="1"/>
    <col min="7" max="7" width="12" customWidth="1"/>
    <col min="8" max="8" width="11" customWidth="1"/>
    <col min="9" max="9" width="13" customWidth="1"/>
    <col min="10" max="10" width="34" customWidth="1"/>
  </cols>
  <sheetData>
    <row r="1" ht="30" customHeight="1" spans="1:10" s="5" customFormat="1" x14ac:dyDescent="0.25">
      <c r="A1" s="5" t="s">
        <v>224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5" t="s">
        <v>232</v>
      </c>
      <c r="J1" s="5" t="s">
        <v>233</v>
      </c>
    </row>
    <row r="2" spans="1:10" x14ac:dyDescent="0.25">
      <c r="A2" s="6" t="s">
        <v>234</v>
      </c>
      <c r="B2" s="6" t="s">
        <v>235</v>
      </c>
      <c r="C2" s="7">
        <v>30</v>
      </c>
      <c r="D2" s="18">
        <v>15</v>
      </c>
      <c r="E2" s="18"/>
      <c r="F2" s="19" t="str">
        <f>IF(E2="","",1-E2/D2)</f>
        <v/>
      </c>
      <c r="G2" s="20">
        <f>IF(E2="",D2,E2)</f>
        <v>15</v>
      </c>
      <c r="H2" s="21">
        <f>ROUND(G2*'Léeme'!$B$10,2)</f>
        <v>1.05</v>
      </c>
      <c r="I2" s="20">
        <f>G2+H2</f>
        <v>16.05</v>
      </c>
      <c r="J2" s="6" t="s">
        <v>236</v>
      </c>
    </row>
    <row r="3" spans="1:10" x14ac:dyDescent="0.25">
      <c r="A3" s="6" t="s">
        <v>234</v>
      </c>
      <c r="B3" s="6" t="s">
        <v>237</v>
      </c>
      <c r="C3" s="7">
        <v>40</v>
      </c>
      <c r="D3" s="18">
        <v>18</v>
      </c>
      <c r="E3" s="18"/>
      <c r="F3" s="19" t="str">
        <f>IF(E3="","",1-E3/D3)</f>
        <v/>
      </c>
      <c r="G3" s="20">
        <f>IF(E3="",D3,E3)</f>
        <v>18</v>
      </c>
      <c r="H3" s="21">
        <f>ROUND(G3*'Léeme'!$B$10,2)</f>
        <v>1.26</v>
      </c>
      <c r="I3" s="20">
        <f>G3+H3</f>
        <v>19.26</v>
      </c>
      <c r="J3" s="6" t="s">
        <v>236</v>
      </c>
    </row>
    <row r="4" spans="1:10" x14ac:dyDescent="0.25">
      <c r="A4" s="6" t="s">
        <v>234</v>
      </c>
      <c r="B4" s="6" t="s">
        <v>238</v>
      </c>
      <c r="C4" s="7">
        <v>20</v>
      </c>
      <c r="D4" s="18">
        <v>10</v>
      </c>
      <c r="E4" s="18"/>
      <c r="F4" s="19" t="str">
        <f>IF(E4="","",1-E4/D4)</f>
        <v/>
      </c>
      <c r="G4" s="20">
        <f>IF(E4="",D4,E4)</f>
        <v>10</v>
      </c>
      <c r="H4" s="21">
        <f>ROUND(G4*'Léeme'!$B$10,2)</f>
        <v>0.7</v>
      </c>
      <c r="I4" s="20">
        <f>G4+H4</f>
        <v>10.7</v>
      </c>
      <c r="J4" s="6" t="s">
        <v>236</v>
      </c>
    </row>
    <row r="5" spans="1:10" x14ac:dyDescent="0.25">
      <c r="A5" s="6" t="s">
        <v>234</v>
      </c>
      <c r="B5" s="6" t="s">
        <v>239</v>
      </c>
      <c r="C5" s="7">
        <v>30</v>
      </c>
      <c r="D5" s="18">
        <v>15</v>
      </c>
      <c r="E5" s="18"/>
      <c r="F5" s="19" t="str">
        <f>IF(E5="","",1-E5/D5)</f>
        <v/>
      </c>
      <c r="G5" s="20">
        <f>IF(E5="",D5,E5)</f>
        <v>15</v>
      </c>
      <c r="H5" s="21">
        <f>ROUND(G5*'Léeme'!$B$10,2)</f>
        <v>1.05</v>
      </c>
      <c r="I5" s="20">
        <f>G5+H5</f>
        <v>16.05</v>
      </c>
      <c r="J5" s="6" t="s">
        <v>236</v>
      </c>
    </row>
    <row r="6" spans="1:10" x14ac:dyDescent="0.25">
      <c r="A6" s="6" t="s">
        <v>234</v>
      </c>
      <c r="B6" s="6" t="s">
        <v>240</v>
      </c>
      <c r="C6" s="7">
        <v>60</v>
      </c>
      <c r="D6" s="18">
        <v>25</v>
      </c>
      <c r="E6" s="18">
        <v>22</v>
      </c>
      <c r="F6" s="19">
        <f>IF(E6="","",1-E6/D6)</f>
        <v>0.12</v>
      </c>
      <c r="G6" s="20">
        <f>IF(E6="",D6,E6)</f>
        <v>22</v>
      </c>
      <c r="H6" s="21">
        <f>ROUND(G6*'Léeme'!$B$10,2)</f>
        <v>1.54</v>
      </c>
      <c r="I6" s="20">
        <f>G6+H6</f>
        <v>23.54</v>
      </c>
      <c r="J6" s="6" t="s">
        <v>236</v>
      </c>
    </row>
    <row r="7" spans="1:10" x14ac:dyDescent="0.25">
      <c r="A7" s="6" t="s">
        <v>234</v>
      </c>
      <c r="B7" s="6" t="s">
        <v>241</v>
      </c>
      <c r="C7" s="7">
        <v>30</v>
      </c>
      <c r="D7" s="18">
        <v>12</v>
      </c>
      <c r="E7" s="18"/>
      <c r="F7" s="19" t="str">
        <f>IF(E7="","",1-E7/D7)</f>
        <v/>
      </c>
      <c r="G7" s="20">
        <f>IF(E7="",D7,E7)</f>
        <v>12</v>
      </c>
      <c r="H7" s="21">
        <f>ROUND(G7*'Léeme'!$B$10,2)</f>
        <v>0.84</v>
      </c>
      <c r="I7" s="20">
        <f>G7+H7</f>
        <v>12.84</v>
      </c>
      <c r="J7" s="6" t="s">
        <v>236</v>
      </c>
    </row>
    <row r="8" spans="1:10" x14ac:dyDescent="0.25">
      <c r="A8" s="6" t="s">
        <v>242</v>
      </c>
      <c r="B8" s="6" t="s">
        <v>243</v>
      </c>
      <c r="C8" s="7">
        <v>45</v>
      </c>
      <c r="D8" s="18">
        <v>25</v>
      </c>
      <c r="E8" s="18"/>
      <c r="F8" s="19" t="str">
        <f>IF(E8="","",1-E8/D8)</f>
        <v/>
      </c>
      <c r="G8" s="20">
        <f>IF(E8="",D8,E8)</f>
        <v>25</v>
      </c>
      <c r="H8" s="21">
        <f>ROUND(G8*'Léeme'!$B$10,2)</f>
        <v>1.75</v>
      </c>
      <c r="I8" s="20">
        <f>G8+H8</f>
        <v>26.75</v>
      </c>
      <c r="J8" s="6" t="s">
        <v>244</v>
      </c>
    </row>
    <row r="9" spans="1:10" x14ac:dyDescent="0.25">
      <c r="A9" s="6" t="s">
        <v>242</v>
      </c>
      <c r="B9" s="6" t="s">
        <v>245</v>
      </c>
      <c r="C9" s="7">
        <v>45</v>
      </c>
      <c r="D9" s="18">
        <v>20</v>
      </c>
      <c r="E9" s="18"/>
      <c r="F9" s="19" t="str">
        <f>IF(E9="","",1-E9/D9)</f>
        <v/>
      </c>
      <c r="G9" s="20">
        <f>IF(E9="",D9,E9)</f>
        <v>20</v>
      </c>
      <c r="H9" s="21">
        <f>ROUND(G9*'Léeme'!$B$10,2)</f>
        <v>1.4</v>
      </c>
      <c r="I9" s="20">
        <f>G9+H9</f>
        <v>21.4</v>
      </c>
      <c r="J9" s="6" t="s">
        <v>244</v>
      </c>
    </row>
    <row r="10" spans="1:10" x14ac:dyDescent="0.25">
      <c r="A10" s="6" t="s">
        <v>242</v>
      </c>
      <c r="B10" s="6" t="s">
        <v>246</v>
      </c>
      <c r="C10" s="7">
        <v>60</v>
      </c>
      <c r="D10" s="18">
        <v>45</v>
      </c>
      <c r="E10" s="18"/>
      <c r="F10" s="19" t="str">
        <f>IF(E10="","",1-E10/D10)</f>
        <v/>
      </c>
      <c r="G10" s="20">
        <f>IF(E10="",D10,E10)</f>
        <v>45</v>
      </c>
      <c r="H10" s="21">
        <f>ROUND(G10*'Léeme'!$B$10,2)</f>
        <v>3.15</v>
      </c>
      <c r="I10" s="20">
        <f>G10+H10</f>
        <v>48.15</v>
      </c>
      <c r="J10" s="6" t="s">
        <v>244</v>
      </c>
    </row>
    <row r="11" spans="1:10" x14ac:dyDescent="0.25">
      <c r="A11" s="6" t="s">
        <v>242</v>
      </c>
      <c r="B11" s="6" t="s">
        <v>247</v>
      </c>
      <c r="C11" s="7">
        <v>90</v>
      </c>
      <c r="D11" s="18">
        <v>45</v>
      </c>
      <c r="E11" s="18"/>
      <c r="F11" s="19" t="str">
        <f>IF(E11="","",1-E11/D11)</f>
        <v/>
      </c>
      <c r="G11" s="20">
        <f>IF(E11="",D11,E11)</f>
        <v>45</v>
      </c>
      <c r="H11" s="21">
        <f>ROUND(G11*'Léeme'!$B$10,2)</f>
        <v>3.15</v>
      </c>
      <c r="I11" s="20">
        <f>G11+H11</f>
        <v>48.15</v>
      </c>
      <c r="J11" s="6" t="s">
        <v>244</v>
      </c>
    </row>
    <row r="12" spans="1:10" x14ac:dyDescent="0.25">
      <c r="A12" s="6" t="s">
        <v>242</v>
      </c>
      <c r="B12" s="6" t="s">
        <v>248</v>
      </c>
      <c r="C12" s="7">
        <v>120</v>
      </c>
      <c r="D12" s="18">
        <v>65</v>
      </c>
      <c r="E12" s="18"/>
      <c r="F12" s="19" t="str">
        <f>IF(E12="","",1-E12/D12)</f>
        <v/>
      </c>
      <c r="G12" s="20">
        <f>IF(E12="",D12,E12)</f>
        <v>65</v>
      </c>
      <c r="H12" s="21">
        <f>ROUND(G12*'Léeme'!$B$10,2)</f>
        <v>4.55</v>
      </c>
      <c r="I12" s="20">
        <f>G12+H12</f>
        <v>69.55</v>
      </c>
      <c r="J12" s="6" t="s">
        <v>244</v>
      </c>
    </row>
    <row r="13" spans="1:10" x14ac:dyDescent="0.25">
      <c r="A13" s="6" t="s">
        <v>242</v>
      </c>
      <c r="B13" s="6" t="s">
        <v>249</v>
      </c>
      <c r="C13" s="7">
        <v>180</v>
      </c>
      <c r="D13" s="18">
        <v>120</v>
      </c>
      <c r="E13" s="18">
        <v>105</v>
      </c>
      <c r="F13" s="19">
        <f>IF(E13="","",1-E13/D13)</f>
        <v>0.125</v>
      </c>
      <c r="G13" s="20">
        <f>IF(E13="",D13,E13)</f>
        <v>105</v>
      </c>
      <c r="H13" s="21">
        <f>ROUND(G13*'Léeme'!$B$10,2)</f>
        <v>7.35</v>
      </c>
      <c r="I13" s="20">
        <f>G13+H13</f>
        <v>112.35</v>
      </c>
      <c r="J13" s="6" t="s">
        <v>244</v>
      </c>
    </row>
    <row r="14" spans="1:10" x14ac:dyDescent="0.25">
      <c r="A14" s="6" t="s">
        <v>242</v>
      </c>
      <c r="B14" s="6" t="s">
        <v>250</v>
      </c>
      <c r="C14" s="7">
        <v>45</v>
      </c>
      <c r="D14" s="18">
        <v>30</v>
      </c>
      <c r="E14" s="18"/>
      <c r="F14" s="19" t="str">
        <f>IF(E14="","",1-E14/D14)</f>
        <v/>
      </c>
      <c r="G14" s="20">
        <f>IF(E14="",D14,E14)</f>
        <v>30</v>
      </c>
      <c r="H14" s="21">
        <f>ROUND(G14*'Léeme'!$B$10,2)</f>
        <v>2.1</v>
      </c>
      <c r="I14" s="20">
        <f>G14+H14</f>
        <v>32.1</v>
      </c>
      <c r="J14" s="6" t="s">
        <v>244</v>
      </c>
    </row>
    <row r="15" spans="1:10" x14ac:dyDescent="0.25">
      <c r="A15" s="6" t="s">
        <v>242</v>
      </c>
      <c r="B15" s="6" t="s">
        <v>251</v>
      </c>
      <c r="C15" s="7">
        <v>150</v>
      </c>
      <c r="D15" s="18">
        <v>120</v>
      </c>
      <c r="E15" s="18"/>
      <c r="F15" s="19" t="str">
        <f>IF(E15="","",1-E15/D15)</f>
        <v/>
      </c>
      <c r="G15" s="20">
        <f>IF(E15="",D15,E15)</f>
        <v>120</v>
      </c>
      <c r="H15" s="21">
        <f>ROUND(G15*'Léeme'!$B$10,2)</f>
        <v>8.4</v>
      </c>
      <c r="I15" s="20">
        <f>G15+H15</f>
        <v>128.4</v>
      </c>
      <c r="J15" s="6" t="s">
        <v>244</v>
      </c>
    </row>
    <row r="16" spans="1:10" x14ac:dyDescent="0.25">
      <c r="A16" s="6" t="s">
        <v>242</v>
      </c>
      <c r="B16" s="6" t="s">
        <v>252</v>
      </c>
      <c r="C16" s="7">
        <v>45</v>
      </c>
      <c r="D16" s="18">
        <v>30</v>
      </c>
      <c r="E16" s="18"/>
      <c r="F16" s="19" t="str">
        <f>IF(E16="","",1-E16/D16)</f>
        <v/>
      </c>
      <c r="G16" s="20">
        <f>IF(E16="",D16,E16)</f>
        <v>30</v>
      </c>
      <c r="H16" s="21">
        <f>ROUND(G16*'Léeme'!$B$10,2)</f>
        <v>2.1</v>
      </c>
      <c r="I16" s="20">
        <f>G16+H16</f>
        <v>32.1</v>
      </c>
      <c r="J16" s="6" t="s">
        <v>244</v>
      </c>
    </row>
    <row r="17" spans="1:10" x14ac:dyDescent="0.25">
      <c r="A17" s="6" t="s">
        <v>242</v>
      </c>
      <c r="B17" s="6" t="s">
        <v>253</v>
      </c>
      <c r="C17" s="7">
        <v>60</v>
      </c>
      <c r="D17" s="18">
        <v>55</v>
      </c>
      <c r="E17" s="18"/>
      <c r="F17" s="19" t="str">
        <f>IF(E17="","",1-E17/D17)</f>
        <v/>
      </c>
      <c r="G17" s="20">
        <f>IF(E17="",D17,E17)</f>
        <v>55</v>
      </c>
      <c r="H17" s="21">
        <f>ROUND(G17*'Léeme'!$B$10,2)</f>
        <v>3.85</v>
      </c>
      <c r="I17" s="20">
        <f>G17+H17</f>
        <v>58.85</v>
      </c>
      <c r="J17" s="6" t="s">
        <v>244</v>
      </c>
    </row>
    <row r="18" spans="1:10" x14ac:dyDescent="0.25">
      <c r="A18" s="6" t="s">
        <v>254</v>
      </c>
      <c r="B18" s="6" t="s">
        <v>255</v>
      </c>
      <c r="C18" s="7">
        <v>90</v>
      </c>
      <c r="D18" s="18">
        <v>40</v>
      </c>
      <c r="E18" s="18"/>
      <c r="F18" s="19" t="str">
        <f>IF(E18="","",1-E18/D18)</f>
        <v/>
      </c>
      <c r="G18" s="20">
        <f>IF(E18="",D18,E18)</f>
        <v>40</v>
      </c>
      <c r="H18" s="21">
        <f>ROUND(G18*'Léeme'!$B$10,2)</f>
        <v>2.8</v>
      </c>
      <c r="I18" s="20">
        <f>G18+H18</f>
        <v>42.8</v>
      </c>
      <c r="J18" s="6" t="s">
        <v>256</v>
      </c>
    </row>
    <row r="19" spans="1:10" x14ac:dyDescent="0.25">
      <c r="A19" s="6" t="s">
        <v>254</v>
      </c>
      <c r="B19" s="6" t="s">
        <v>257</v>
      </c>
      <c r="C19" s="7">
        <v>60</v>
      </c>
      <c r="D19" s="18">
        <v>28</v>
      </c>
      <c r="E19" s="18"/>
      <c r="F19" s="19" t="str">
        <f>IF(E19="","",1-E19/D19)</f>
        <v/>
      </c>
      <c r="G19" s="20">
        <f>IF(E19="",D19,E19)</f>
        <v>28</v>
      </c>
      <c r="H19" s="21">
        <f>ROUND(G19*'Léeme'!$B$10,2)</f>
        <v>1.96</v>
      </c>
      <c r="I19" s="20">
        <f>G19+H19</f>
        <v>29.96</v>
      </c>
      <c r="J19" s="6" t="s">
        <v>256</v>
      </c>
    </row>
    <row r="20" spans="1:10" x14ac:dyDescent="0.25">
      <c r="A20" s="6" t="s">
        <v>254</v>
      </c>
      <c r="B20" s="6" t="s">
        <v>258</v>
      </c>
      <c r="C20" s="7">
        <v>90</v>
      </c>
      <c r="D20" s="18">
        <v>45</v>
      </c>
      <c r="E20" s="18"/>
      <c r="F20" s="19" t="str">
        <f>IF(E20="","",1-E20/D20)</f>
        <v/>
      </c>
      <c r="G20" s="20">
        <f>IF(E20="",D20,E20)</f>
        <v>45</v>
      </c>
      <c r="H20" s="21">
        <f>ROUND(G20*'Léeme'!$B$10,2)</f>
        <v>3.15</v>
      </c>
      <c r="I20" s="20">
        <f>G20+H20</f>
        <v>48.15</v>
      </c>
      <c r="J20" s="6" t="s">
        <v>256</v>
      </c>
    </row>
    <row r="21" spans="1:10" x14ac:dyDescent="0.25">
      <c r="A21" s="6" t="s">
        <v>254</v>
      </c>
      <c r="B21" s="6" t="s">
        <v>259</v>
      </c>
      <c r="C21" s="7">
        <v>10</v>
      </c>
      <c r="D21" s="18">
        <v>2</v>
      </c>
      <c r="E21" s="18"/>
      <c r="F21" s="19" t="str">
        <f>IF(E21="","",1-E21/D21)</f>
        <v/>
      </c>
      <c r="G21" s="20">
        <f>IF(E21="",D21,E21)</f>
        <v>2</v>
      </c>
      <c r="H21" s="21">
        <f>ROUND(G21*'Léeme'!$B$10,2)</f>
        <v>0.14</v>
      </c>
      <c r="I21" s="20">
        <f>G21+H21</f>
        <v>2.14</v>
      </c>
      <c r="J21" s="6" t="s">
        <v>256</v>
      </c>
    </row>
    <row r="22" spans="1:10" x14ac:dyDescent="0.25">
      <c r="A22" s="6" t="s">
        <v>254</v>
      </c>
      <c r="B22" s="6" t="s">
        <v>260</v>
      </c>
      <c r="C22" s="7">
        <v>30</v>
      </c>
      <c r="D22" s="18">
        <v>10</v>
      </c>
      <c r="E22" s="18"/>
      <c r="F22" s="19" t="str">
        <f>IF(E22="","",1-E22/D22)</f>
        <v/>
      </c>
      <c r="G22" s="20">
        <f>IF(E22="",D22,E22)</f>
        <v>10</v>
      </c>
      <c r="H22" s="21">
        <f>ROUND(G22*'Léeme'!$B$10,2)</f>
        <v>0.7</v>
      </c>
      <c r="I22" s="20">
        <f>G22+H22</f>
        <v>10.7</v>
      </c>
      <c r="J22" s="6" t="s">
        <v>256</v>
      </c>
    </row>
    <row r="23" spans="1:10" x14ac:dyDescent="0.25">
      <c r="A23" s="6" t="s">
        <v>261</v>
      </c>
      <c r="B23" s="6" t="s">
        <v>262</v>
      </c>
      <c r="C23" s="7">
        <v>40</v>
      </c>
      <c r="D23" s="18">
        <v>12</v>
      </c>
      <c r="E23" s="18"/>
      <c r="F23" s="19" t="str">
        <f>IF(E23="","",1-E23/D23)</f>
        <v/>
      </c>
      <c r="G23" s="20">
        <f>IF(E23="",D23,E23)</f>
        <v>12</v>
      </c>
      <c r="H23" s="21">
        <f>ROUND(G23*'Léeme'!$B$10,2)</f>
        <v>0.84</v>
      </c>
      <c r="I23" s="20">
        <f>G23+H23</f>
        <v>12.84</v>
      </c>
      <c r="J23" s="6" t="s">
        <v>256</v>
      </c>
    </row>
    <row r="24" spans="1:10" x14ac:dyDescent="0.25">
      <c r="A24" s="6" t="s">
        <v>261</v>
      </c>
      <c r="B24" s="6" t="s">
        <v>263</v>
      </c>
      <c r="C24" s="7">
        <v>50</v>
      </c>
      <c r="D24" s="18">
        <v>22</v>
      </c>
      <c r="E24" s="18"/>
      <c r="F24" s="19" t="str">
        <f>IF(E24="","",1-E24/D24)</f>
        <v/>
      </c>
      <c r="G24" s="20">
        <f>IF(E24="",D24,E24)</f>
        <v>22</v>
      </c>
      <c r="H24" s="21">
        <f>ROUND(G24*'Léeme'!$B$10,2)</f>
        <v>1.54</v>
      </c>
      <c r="I24" s="20">
        <f>G24+H24</f>
        <v>23.54</v>
      </c>
      <c r="J24" s="6" t="s">
        <v>256</v>
      </c>
    </row>
    <row r="25" spans="1:10" x14ac:dyDescent="0.25">
      <c r="A25" s="6" t="s">
        <v>261</v>
      </c>
      <c r="B25" s="6" t="s">
        <v>264</v>
      </c>
      <c r="C25" s="7">
        <v>60</v>
      </c>
      <c r="D25" s="18">
        <v>25</v>
      </c>
      <c r="E25" s="18"/>
      <c r="F25" s="19" t="str">
        <f>IF(E25="","",1-E25/D25)</f>
        <v/>
      </c>
      <c r="G25" s="20">
        <f>IF(E25="",D25,E25)</f>
        <v>25</v>
      </c>
      <c r="H25" s="21">
        <f>ROUND(G25*'Léeme'!$B$10,2)</f>
        <v>1.75</v>
      </c>
      <c r="I25" s="20">
        <f>G25+H25</f>
        <v>26.75</v>
      </c>
      <c r="J25" s="6" t="s">
        <v>256</v>
      </c>
    </row>
    <row r="26" spans="1:10" x14ac:dyDescent="0.25">
      <c r="A26" s="6" t="s">
        <v>265</v>
      </c>
      <c r="B26" s="6" t="s">
        <v>266</v>
      </c>
      <c r="C26" s="7">
        <v>50</v>
      </c>
      <c r="D26" s="18">
        <v>18</v>
      </c>
      <c r="E26" s="18"/>
      <c r="F26" s="19" t="str">
        <f>IF(E26="","",1-E26/D26)</f>
        <v/>
      </c>
      <c r="G26" s="20">
        <f>IF(E26="",D26,E26)</f>
        <v>18</v>
      </c>
      <c r="H26" s="21">
        <f>ROUND(G26*'Léeme'!$B$10,2)</f>
        <v>1.26</v>
      </c>
      <c r="I26" s="20">
        <f>G26+H26</f>
        <v>19.26</v>
      </c>
      <c r="J26" s="6" t="s">
        <v>256</v>
      </c>
    </row>
    <row r="27" spans="1:10" x14ac:dyDescent="0.25">
      <c r="A27" s="6" t="s">
        <v>265</v>
      </c>
      <c r="B27" s="6" t="s">
        <v>267</v>
      </c>
      <c r="C27" s="7">
        <v>60</v>
      </c>
      <c r="D27" s="18">
        <v>28</v>
      </c>
      <c r="E27" s="18"/>
      <c r="F27" s="19" t="str">
        <f>IF(E27="","",1-E27/D27)</f>
        <v/>
      </c>
      <c r="G27" s="20">
        <f>IF(E27="",D27,E27)</f>
        <v>28</v>
      </c>
      <c r="H27" s="21">
        <f>ROUND(G27*'Léeme'!$B$10,2)</f>
        <v>1.96</v>
      </c>
      <c r="I27" s="20">
        <f>G27+H27</f>
        <v>29.96</v>
      </c>
      <c r="J27" s="6" t="s">
        <v>256</v>
      </c>
    </row>
    <row r="28" spans="1:10" x14ac:dyDescent="0.25">
      <c r="A28" s="6" t="s">
        <v>265</v>
      </c>
      <c r="B28" s="6" t="s">
        <v>268</v>
      </c>
      <c r="C28" s="7">
        <v>75</v>
      </c>
      <c r="D28" s="18">
        <v>35</v>
      </c>
      <c r="E28" s="18"/>
      <c r="F28" s="19" t="str">
        <f>IF(E28="","",1-E28/D28)</f>
        <v/>
      </c>
      <c r="G28" s="20">
        <f>IF(E28="",D28,E28)</f>
        <v>35</v>
      </c>
      <c r="H28" s="21">
        <f>ROUND(G28*'Léeme'!$B$10,2)</f>
        <v>2.45</v>
      </c>
      <c r="I28" s="20">
        <f>G28+H28</f>
        <v>37.45</v>
      </c>
      <c r="J28" s="6" t="s">
        <v>256</v>
      </c>
    </row>
    <row r="29" spans="1:10" x14ac:dyDescent="0.25">
      <c r="A29" s="6" t="s">
        <v>269</v>
      </c>
      <c r="B29" s="6" t="s">
        <v>270</v>
      </c>
      <c r="C29" s="7">
        <v>120</v>
      </c>
      <c r="D29" s="18">
        <v>60</v>
      </c>
      <c r="E29" s="18"/>
      <c r="F29" s="19" t="str">
        <f>IF(E29="","",1-E29/D29)</f>
        <v/>
      </c>
      <c r="G29" s="20">
        <f>IF(E29="",D29,E29)</f>
        <v>60</v>
      </c>
      <c r="H29" s="21">
        <f>ROUND(G29*'Léeme'!$B$10,2)</f>
        <v>4.2</v>
      </c>
      <c r="I29" s="20">
        <f>G29+H29</f>
        <v>64.2</v>
      </c>
      <c r="J29" s="6" t="s">
        <v>271</v>
      </c>
    </row>
    <row r="30" spans="1:10" x14ac:dyDescent="0.25">
      <c r="A30" s="6" t="s">
        <v>269</v>
      </c>
      <c r="B30" s="6" t="s">
        <v>272</v>
      </c>
      <c r="C30" s="7">
        <v>150</v>
      </c>
      <c r="D30" s="18">
        <v>80</v>
      </c>
      <c r="E30" s="18"/>
      <c r="F30" s="19" t="str">
        <f>IF(E30="","",1-E30/D30)</f>
        <v/>
      </c>
      <c r="G30" s="20">
        <f>IF(E30="",D30,E30)</f>
        <v>80</v>
      </c>
      <c r="H30" s="21">
        <f>ROUND(G30*'Léeme'!$B$10,2)</f>
        <v>5.6</v>
      </c>
      <c r="I30" s="20">
        <f>G30+H30</f>
        <v>85.6</v>
      </c>
      <c r="J30" s="6" t="s">
        <v>271</v>
      </c>
    </row>
    <row r="31" spans="1:10" x14ac:dyDescent="0.25">
      <c r="A31" s="6" t="s">
        <v>269</v>
      </c>
      <c r="B31" s="6" t="s">
        <v>273</v>
      </c>
      <c r="C31" s="7">
        <v>60</v>
      </c>
      <c r="D31" s="18">
        <v>35</v>
      </c>
      <c r="E31" s="18"/>
      <c r="F31" s="19" t="str">
        <f>IF(E31="","",1-E31/D31)</f>
        <v/>
      </c>
      <c r="G31" s="20">
        <f>IF(E31="",D31,E31)</f>
        <v>35</v>
      </c>
      <c r="H31" s="21">
        <f>ROUND(G31*'Léeme'!$B$10,2)</f>
        <v>2.45</v>
      </c>
      <c r="I31" s="20">
        <f>G31+H31</f>
        <v>37.45</v>
      </c>
      <c r="J31" s="6" t="s">
        <v>271</v>
      </c>
    </row>
    <row r="32" spans="1:10" x14ac:dyDescent="0.25">
      <c r="A32" s="6" t="s">
        <v>269</v>
      </c>
      <c r="B32" s="6" t="s">
        <v>274</v>
      </c>
      <c r="C32" s="7">
        <v>60</v>
      </c>
      <c r="D32" s="18">
        <v>40</v>
      </c>
      <c r="E32" s="18"/>
      <c r="F32" s="19" t="str">
        <f>IF(E32="","",1-E32/D32)</f>
        <v/>
      </c>
      <c r="G32" s="20">
        <f>IF(E32="",D32,E32)</f>
        <v>40</v>
      </c>
      <c r="H32" s="21">
        <f>ROUND(G32*'Léeme'!$B$10,2)</f>
        <v>2.8</v>
      </c>
      <c r="I32" s="20">
        <f>G32+H32</f>
        <v>42.8</v>
      </c>
      <c r="J32" s="6" t="s">
        <v>271</v>
      </c>
    </row>
    <row r="33" spans="1:10" x14ac:dyDescent="0.25">
      <c r="A33" s="6" t="s">
        <v>269</v>
      </c>
      <c r="B33" s="6" t="s">
        <v>275</v>
      </c>
      <c r="C33" s="7">
        <v>30</v>
      </c>
      <c r="D33" s="18">
        <v>15</v>
      </c>
      <c r="E33" s="18"/>
      <c r="F33" s="19" t="str">
        <f>IF(E33="","",1-E33/D33)</f>
        <v/>
      </c>
      <c r="G33" s="20">
        <f>IF(E33="",D33,E33)</f>
        <v>15</v>
      </c>
      <c r="H33" s="21">
        <f>ROUND(G33*'Léeme'!$B$10,2)</f>
        <v>1.05</v>
      </c>
      <c r="I33" s="20">
        <f>G33+H33</f>
        <v>16.05</v>
      </c>
      <c r="J33" s="6" t="s">
        <v>271</v>
      </c>
    </row>
    <row r="34" spans="1:10" x14ac:dyDescent="0.25">
      <c r="A34" s="6" t="s">
        <v>269</v>
      </c>
      <c r="B34" s="6" t="s">
        <v>276</v>
      </c>
      <c r="C34" s="7">
        <v>45</v>
      </c>
      <c r="D34" s="18">
        <v>35</v>
      </c>
      <c r="E34" s="18"/>
      <c r="F34" s="19" t="str">
        <f>IF(E34="","",1-E34/D34)</f>
        <v/>
      </c>
      <c r="G34" s="20">
        <f>IF(E34="",D34,E34)</f>
        <v>35</v>
      </c>
      <c r="H34" s="21">
        <f>ROUND(G34*'Léeme'!$B$10,2)</f>
        <v>2.45</v>
      </c>
      <c r="I34" s="20">
        <f>G34+H34</f>
        <v>37.45</v>
      </c>
      <c r="J34" s="6" t="s">
        <v>271</v>
      </c>
    </row>
    <row r="35" spans="1:10" x14ac:dyDescent="0.25">
      <c r="A35" s="6" t="s">
        <v>277</v>
      </c>
      <c r="B35" s="6" t="s">
        <v>278</v>
      </c>
      <c r="C35" s="7">
        <v>60</v>
      </c>
      <c r="D35" s="18">
        <v>50</v>
      </c>
      <c r="E35" s="18"/>
      <c r="F35" s="19" t="str">
        <f>IF(E35="","",1-E35/D35)</f>
        <v/>
      </c>
      <c r="G35" s="20">
        <f>IF(E35="",D35,E35)</f>
        <v>50</v>
      </c>
      <c r="H35" s="21">
        <f>ROUND(G35*'Léeme'!$B$10,2)</f>
        <v>3.5</v>
      </c>
      <c r="I35" s="20">
        <f>G35+H35</f>
        <v>53.5</v>
      </c>
      <c r="J35" s="6" t="s">
        <v>271</v>
      </c>
    </row>
    <row r="36" spans="1:10" x14ac:dyDescent="0.25">
      <c r="A36" s="6" t="s">
        <v>277</v>
      </c>
      <c r="B36" s="6" t="s">
        <v>279</v>
      </c>
      <c r="C36" s="7">
        <v>60</v>
      </c>
      <c r="D36" s="18">
        <v>55</v>
      </c>
      <c r="E36" s="18"/>
      <c r="F36" s="19" t="str">
        <f>IF(E36="","",1-E36/D36)</f>
        <v/>
      </c>
      <c r="G36" s="20">
        <f>IF(E36="",D36,E36)</f>
        <v>55</v>
      </c>
      <c r="H36" s="21">
        <f>ROUND(G36*'Léeme'!$B$10,2)</f>
        <v>3.85</v>
      </c>
      <c r="I36" s="20">
        <f>G36+H36</f>
        <v>58.85</v>
      </c>
      <c r="J36" s="6" t="s">
        <v>271</v>
      </c>
    </row>
    <row r="37" spans="1:10" x14ac:dyDescent="0.25">
      <c r="A37" s="6" t="s">
        <v>277</v>
      </c>
      <c r="B37" s="6" t="s">
        <v>280</v>
      </c>
      <c r="C37" s="7">
        <v>60</v>
      </c>
      <c r="D37" s="18">
        <v>45</v>
      </c>
      <c r="E37" s="18"/>
      <c r="F37" s="19" t="str">
        <f>IF(E37="","",1-E37/D37)</f>
        <v/>
      </c>
      <c r="G37" s="20">
        <f>IF(E37="",D37,E37)</f>
        <v>45</v>
      </c>
      <c r="H37" s="21">
        <f>ROUND(G37*'Léeme'!$B$10,2)</f>
        <v>3.15</v>
      </c>
      <c r="I37" s="20">
        <f>G37+H37</f>
        <v>48.15</v>
      </c>
      <c r="J37" s="6" t="s">
        <v>271</v>
      </c>
    </row>
    <row r="38" spans="1:10" x14ac:dyDescent="0.25">
      <c r="A38" s="6" t="s">
        <v>277</v>
      </c>
      <c r="B38" s="6" t="s">
        <v>281</v>
      </c>
      <c r="C38" s="7">
        <v>60</v>
      </c>
      <c r="D38" s="18">
        <v>60</v>
      </c>
      <c r="E38" s="18"/>
      <c r="F38" s="19" t="str">
        <f>IF(E38="","",1-E38/D38)</f>
        <v/>
      </c>
      <c r="G38" s="20">
        <f>IF(E38="",D38,E38)</f>
        <v>60</v>
      </c>
      <c r="H38" s="21">
        <f>ROUND(G38*'Léeme'!$B$10,2)</f>
        <v>4.2</v>
      </c>
      <c r="I38" s="20">
        <f>G38+H38</f>
        <v>64.2</v>
      </c>
      <c r="J38" s="6" t="s">
        <v>271</v>
      </c>
    </row>
    <row r="39" spans="1:10" x14ac:dyDescent="0.25">
      <c r="A39" s="6" t="s">
        <v>277</v>
      </c>
      <c r="B39" s="6" t="s">
        <v>282</v>
      </c>
      <c r="C39" s="7">
        <v>45</v>
      </c>
      <c r="D39" s="18">
        <v>65</v>
      </c>
      <c r="E39" s="18"/>
      <c r="F39" s="19" t="str">
        <f>IF(E39="","",1-E39/D39)</f>
        <v/>
      </c>
      <c r="G39" s="20">
        <f>IF(E39="",D39,E39)</f>
        <v>65</v>
      </c>
      <c r="H39" s="21">
        <f>ROUND(G39*'Léeme'!$B$10,2)</f>
        <v>4.55</v>
      </c>
      <c r="I39" s="20">
        <f>G39+H39</f>
        <v>69.55</v>
      </c>
      <c r="J39" s="6" t="s">
        <v>271</v>
      </c>
    </row>
    <row r="40" spans="1:10" x14ac:dyDescent="0.25">
      <c r="A40" s="6" t="s">
        <v>283</v>
      </c>
      <c r="B40" s="6" t="s">
        <v>284</v>
      </c>
      <c r="C40" s="7">
        <v>45</v>
      </c>
      <c r="D40" s="18">
        <v>45</v>
      </c>
      <c r="E40" s="18"/>
      <c r="F40" s="19" t="str">
        <f>IF(E40="","",1-E40/D40)</f>
        <v/>
      </c>
      <c r="G40" s="20">
        <f>IF(E40="",D40,E40)</f>
        <v>45</v>
      </c>
      <c r="H40" s="21">
        <f>ROUND(G40*'Léeme'!$B$10,2)</f>
        <v>3.15</v>
      </c>
      <c r="I40" s="20">
        <f>G40+H40</f>
        <v>48.15</v>
      </c>
      <c r="J40" s="6" t="s">
        <v>271</v>
      </c>
    </row>
    <row r="41" spans="1:10" x14ac:dyDescent="0.25">
      <c r="A41" s="6" t="s">
        <v>283</v>
      </c>
      <c r="B41" s="6" t="s">
        <v>285</v>
      </c>
      <c r="C41" s="7">
        <v>60</v>
      </c>
      <c r="D41" s="18">
        <v>60</v>
      </c>
      <c r="E41" s="18"/>
      <c r="F41" s="19" t="str">
        <f>IF(E41="","",1-E41/D41)</f>
        <v/>
      </c>
      <c r="G41" s="20">
        <f>IF(E41="",D41,E41)</f>
        <v>60</v>
      </c>
      <c r="H41" s="21">
        <f>ROUND(G41*'Léeme'!$B$10,2)</f>
        <v>4.2</v>
      </c>
      <c r="I41" s="20">
        <f>G41+H41</f>
        <v>64.2</v>
      </c>
      <c r="J41" s="6" t="s">
        <v>271</v>
      </c>
    </row>
    <row r="42" spans="1:10" x14ac:dyDescent="0.25">
      <c r="A42" s="6" t="s">
        <v>283</v>
      </c>
      <c r="B42" s="6" t="s">
        <v>286</v>
      </c>
      <c r="C42" s="7">
        <v>60</v>
      </c>
      <c r="D42" s="18">
        <v>60</v>
      </c>
      <c r="E42" s="18"/>
      <c r="F42" s="19" t="str">
        <f>IF(E42="","",1-E42/D42)</f>
        <v/>
      </c>
      <c r="G42" s="20">
        <f>IF(E42="",D42,E42)</f>
        <v>60</v>
      </c>
      <c r="H42" s="21">
        <f>ROUND(G42*'Léeme'!$B$10,2)</f>
        <v>4.2</v>
      </c>
      <c r="I42" s="20">
        <f>G42+H42</f>
        <v>64.2</v>
      </c>
      <c r="J42" s="6" t="s">
        <v>271</v>
      </c>
    </row>
    <row r="43" spans="1:10" x14ac:dyDescent="0.25">
      <c r="A43" s="6" t="s">
        <v>287</v>
      </c>
      <c r="B43" s="6" t="s">
        <v>288</v>
      </c>
      <c r="C43" s="7">
        <v>15</v>
      </c>
      <c r="D43" s="18">
        <v>8</v>
      </c>
      <c r="E43" s="18"/>
      <c r="F43" s="19" t="str">
        <f>IF(E43="","",1-E43/D43)</f>
        <v/>
      </c>
      <c r="G43" s="20">
        <f>IF(E43="",D43,E43)</f>
        <v>8</v>
      </c>
      <c r="H43" s="21">
        <f>ROUND(G43*'Léeme'!$B$10,2)</f>
        <v>0.56</v>
      </c>
      <c r="I43" s="20">
        <f>G43+H43</f>
        <v>8.56</v>
      </c>
      <c r="J43" s="6" t="s">
        <v>289</v>
      </c>
    </row>
    <row r="44" spans="1:10" x14ac:dyDescent="0.25">
      <c r="A44" s="6" t="s">
        <v>287</v>
      </c>
      <c r="B44" s="6" t="s">
        <v>290</v>
      </c>
      <c r="C44" s="7">
        <v>10</v>
      </c>
      <c r="D44" s="18">
        <v>6</v>
      </c>
      <c r="E44" s="18"/>
      <c r="F44" s="19" t="str">
        <f>IF(E44="","",1-E44/D44)</f>
        <v/>
      </c>
      <c r="G44" s="20">
        <f>IF(E44="",D44,E44)</f>
        <v>6</v>
      </c>
      <c r="H44" s="21">
        <f>ROUND(G44*'Léeme'!$B$10,2)</f>
        <v>0.42</v>
      </c>
      <c r="I44" s="20">
        <f>G44+H44</f>
        <v>6.42</v>
      </c>
      <c r="J44" s="6" t="s">
        <v>289</v>
      </c>
    </row>
    <row r="45" spans="1:10" x14ac:dyDescent="0.25">
      <c r="A45" s="6" t="s">
        <v>287</v>
      </c>
      <c r="B45" s="6" t="s">
        <v>291</v>
      </c>
      <c r="C45" s="7">
        <v>15</v>
      </c>
      <c r="D45" s="18">
        <v>12</v>
      </c>
      <c r="E45" s="18"/>
      <c r="F45" s="19" t="str">
        <f>IF(E45="","",1-E45/D45)</f>
        <v/>
      </c>
      <c r="G45" s="20">
        <f>IF(E45="",D45,E45)</f>
        <v>12</v>
      </c>
      <c r="H45" s="21">
        <f>ROUND(G45*'Léeme'!$B$10,2)</f>
        <v>0.84</v>
      </c>
      <c r="I45" s="20">
        <f>G45+H45</f>
        <v>12.84</v>
      </c>
      <c r="J45" s="6" t="s">
        <v>289</v>
      </c>
    </row>
    <row r="46" spans="1:10" x14ac:dyDescent="0.25">
      <c r="A46" s="6" t="s">
        <v>287</v>
      </c>
      <c r="B46" s="6" t="s">
        <v>292</v>
      </c>
      <c r="C46" s="7">
        <v>30</v>
      </c>
      <c r="D46" s="18">
        <v>20</v>
      </c>
      <c r="E46" s="18"/>
      <c r="F46" s="19" t="str">
        <f>IF(E46="","",1-E46/D46)</f>
        <v/>
      </c>
      <c r="G46" s="20">
        <f>IF(E46="",D46,E46)</f>
        <v>20</v>
      </c>
      <c r="H46" s="21">
        <f>ROUND(G46*'Léeme'!$B$10,2)</f>
        <v>1.4</v>
      </c>
      <c r="I46" s="20">
        <f>G46+H46</f>
        <v>21.4</v>
      </c>
      <c r="J46" s="6" t="s">
        <v>289</v>
      </c>
    </row>
    <row r="47" spans="1:10" x14ac:dyDescent="0.25">
      <c r="A47" s="6" t="s">
        <v>287</v>
      </c>
      <c r="B47" s="6" t="s">
        <v>293</v>
      </c>
      <c r="C47" s="7">
        <v>45</v>
      </c>
      <c r="D47" s="18">
        <v>35</v>
      </c>
      <c r="E47" s="18"/>
      <c r="F47" s="19" t="str">
        <f>IF(E47="","",1-E47/D47)</f>
        <v/>
      </c>
      <c r="G47" s="20">
        <f>IF(E47="",D47,E47)</f>
        <v>35</v>
      </c>
      <c r="H47" s="21">
        <f>ROUND(G47*'Léeme'!$B$10,2)</f>
        <v>2.45</v>
      </c>
      <c r="I47" s="20">
        <f>G47+H47</f>
        <v>37.45</v>
      </c>
      <c r="J47" s="6" t="s">
        <v>289</v>
      </c>
    </row>
    <row r="48" spans="1:10" x14ac:dyDescent="0.25">
      <c r="A48" s="6" t="s">
        <v>287</v>
      </c>
      <c r="B48" s="6" t="s">
        <v>294</v>
      </c>
      <c r="C48" s="7">
        <v>30</v>
      </c>
      <c r="D48" s="18">
        <v>25</v>
      </c>
      <c r="E48" s="18"/>
      <c r="F48" s="19" t="str">
        <f>IF(E48="","",1-E48/D48)</f>
        <v/>
      </c>
      <c r="G48" s="20">
        <f>IF(E48="",D48,E48)</f>
        <v>25</v>
      </c>
      <c r="H48" s="21">
        <f>ROUND(G48*'Léeme'!$B$10,2)</f>
        <v>1.75</v>
      </c>
      <c r="I48" s="20">
        <f>G48+H48</f>
        <v>26.75</v>
      </c>
      <c r="J48" s="6" t="s">
        <v>289</v>
      </c>
    </row>
    <row r="49" spans="1:10" x14ac:dyDescent="0.25">
      <c r="A49" s="6" t="s">
        <v>295</v>
      </c>
      <c r="B49" s="6" t="s">
        <v>296</v>
      </c>
      <c r="C49" s="7">
        <v>60</v>
      </c>
      <c r="D49" s="18">
        <v>65</v>
      </c>
      <c r="E49" s="18"/>
      <c r="F49" s="19" t="str">
        <f>IF(E49="","",1-E49/D49)</f>
        <v/>
      </c>
      <c r="G49" s="20">
        <f>IF(E49="",D49,E49)</f>
        <v>65</v>
      </c>
      <c r="H49" s="21">
        <f>ROUND(G49*'Léeme'!$B$10,2)</f>
        <v>4.55</v>
      </c>
      <c r="I49" s="20">
        <f>G49+H49</f>
        <v>69.55</v>
      </c>
      <c r="J49" s="6" t="s">
        <v>271</v>
      </c>
    </row>
    <row r="50" spans="1:10" x14ac:dyDescent="0.25">
      <c r="A50" s="6" t="s">
        <v>295</v>
      </c>
      <c r="B50" s="6" t="s">
        <v>297</v>
      </c>
      <c r="C50" s="7">
        <v>75</v>
      </c>
      <c r="D50" s="18">
        <v>85</v>
      </c>
      <c r="E50" s="18">
        <v>75</v>
      </c>
      <c r="F50" s="19">
        <f>IF(E50="","",1-E50/D50)</f>
        <v>0.11764705882352944</v>
      </c>
      <c r="G50" s="20">
        <f>IF(E50="",D50,E50)</f>
        <v>75</v>
      </c>
      <c r="H50" s="21">
        <f>ROUND(G50*'Léeme'!$B$10,2)</f>
        <v>5.25</v>
      </c>
      <c r="I50" s="20">
        <f>G50+H50</f>
        <v>80.25</v>
      </c>
      <c r="J50" s="6" t="s">
        <v>271</v>
      </c>
    </row>
    <row r="51" spans="1:10" x14ac:dyDescent="0.25">
      <c r="A51" s="6" t="s">
        <v>295</v>
      </c>
      <c r="B51" s="6" t="s">
        <v>298</v>
      </c>
      <c r="C51" s="7">
        <v>60</v>
      </c>
      <c r="D51" s="18">
        <v>70</v>
      </c>
      <c r="E51" s="18"/>
      <c r="F51" s="19" t="str">
        <f>IF(E51="","",1-E51/D51)</f>
        <v/>
      </c>
      <c r="G51" s="20">
        <f>IF(E51="",D51,E51)</f>
        <v>70</v>
      </c>
      <c r="H51" s="21">
        <f>ROUND(G51*'Léeme'!$B$10,2)</f>
        <v>4.9</v>
      </c>
      <c r="I51" s="20">
        <f>G51+H51</f>
        <v>74.9</v>
      </c>
      <c r="J51" s="6" t="s">
        <v>271</v>
      </c>
    </row>
    <row r="52" spans="1:10" x14ac:dyDescent="0.25">
      <c r="A52" s="6" t="s">
        <v>295</v>
      </c>
      <c r="B52" s="6" t="s">
        <v>299</v>
      </c>
      <c r="C52" s="7">
        <v>120</v>
      </c>
      <c r="D52" s="18">
        <v>130</v>
      </c>
      <c r="E52" s="18">
        <v>115</v>
      </c>
      <c r="F52" s="19">
        <f>IF(E52="","",1-E52/D52)</f>
        <v>0.11538461538461542</v>
      </c>
      <c r="G52" s="20">
        <f>IF(E52="",D52,E52)</f>
        <v>115</v>
      </c>
      <c r="H52" s="21">
        <f>ROUND(G52*'Léeme'!$B$10,2)</f>
        <v>8.05</v>
      </c>
      <c r="I52" s="20">
        <f>G52+H52</f>
        <v>123.05</v>
      </c>
      <c r="J52" s="6" t="s">
        <v>271</v>
      </c>
    </row>
    <row r="53" spans="1:10" x14ac:dyDescent="0.25">
      <c r="A53" s="6" t="s">
        <v>300</v>
      </c>
      <c r="B53" s="6" t="s">
        <v>301</v>
      </c>
      <c r="C53" s="7">
        <v>60</v>
      </c>
      <c r="D53" s="18">
        <v>45</v>
      </c>
      <c r="E53" s="18"/>
      <c r="F53" s="19" t="str">
        <f>IF(E53="","",1-E53/D53)</f>
        <v/>
      </c>
      <c r="G53" s="20">
        <f>IF(E53="",D53,E53)</f>
        <v>45</v>
      </c>
      <c r="H53" s="21">
        <f>ROUND(G53*'Léeme'!$B$10,2)</f>
        <v>3.15</v>
      </c>
      <c r="I53" s="20">
        <f>G53+H53</f>
        <v>48.15</v>
      </c>
      <c r="J53" s="6" t="s">
        <v>302</v>
      </c>
    </row>
    <row r="54" spans="1:10" x14ac:dyDescent="0.25">
      <c r="A54" s="6" t="s">
        <v>300</v>
      </c>
      <c r="B54" s="6" t="s">
        <v>303</v>
      </c>
      <c r="C54" s="7">
        <v>120</v>
      </c>
      <c r="D54" s="18">
        <v>150</v>
      </c>
      <c r="E54" s="18"/>
      <c r="F54" s="19" t="str">
        <f>IF(E54="","",1-E54/D54)</f>
        <v/>
      </c>
      <c r="G54" s="20">
        <f>IF(E54="",D54,E54)</f>
        <v>150</v>
      </c>
      <c r="H54" s="21">
        <f>ROUND(G54*'Léeme'!$B$10,2)</f>
        <v>10.5</v>
      </c>
      <c r="I54" s="20">
        <f>G54+H54</f>
        <v>160.5</v>
      </c>
      <c r="J54" s="6" t="s">
        <v>302</v>
      </c>
    </row>
    <row r="55" spans="2:3" s="3" customFormat="1" x14ac:dyDescent="0.25">
      <c r="B55" s="3" t="s">
        <v>304</v>
      </c>
      <c r="C55" s="3">
        <f>COUNTA(B2:B54)</f>
        <v>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24" customWidth="1"/>
    <col min="4" max="4" width="15" customWidth="1"/>
    <col min="5" max="5" width="18" customWidth="1"/>
    <col min="6" max="6" width="11" customWidth="1"/>
    <col min="7" max="7" width="12" customWidth="1"/>
    <col min="8" max="8" width="11" customWidth="1"/>
    <col min="10" max="10" width="8" customWidth="1"/>
    <col min="12" max="12" width="11" customWidth="1"/>
    <col min="13" max="13" width="14" customWidth="1"/>
    <col min="14" max="14" width="34" customWidth="1"/>
  </cols>
  <sheetData>
    <row r="1" ht="30" customHeight="1" spans="1:14" s="5" customFormat="1" x14ac:dyDescent="0.25">
      <c r="A1" s="5" t="s">
        <v>305</v>
      </c>
      <c r="B1" s="5" t="s">
        <v>306</v>
      </c>
      <c r="C1" s="5" t="s">
        <v>224</v>
      </c>
      <c r="D1" s="5" t="s">
        <v>307</v>
      </c>
      <c r="E1" s="5" t="s">
        <v>308</v>
      </c>
      <c r="F1" s="5" t="s">
        <v>309</v>
      </c>
      <c r="G1" s="5" t="s">
        <v>310</v>
      </c>
      <c r="H1" s="5" t="s">
        <v>311</v>
      </c>
      <c r="I1" s="5" t="s">
        <v>312</v>
      </c>
      <c r="J1" s="5" t="s">
        <v>313</v>
      </c>
      <c r="K1" s="5" t="s">
        <v>314</v>
      </c>
      <c r="L1" s="5" t="s">
        <v>315</v>
      </c>
      <c r="M1" s="5" t="s">
        <v>316</v>
      </c>
      <c r="N1" s="5" t="s">
        <v>30</v>
      </c>
    </row>
    <row r="2" spans="1:14" x14ac:dyDescent="0.25">
      <c r="A2" s="6" t="s">
        <v>317</v>
      </c>
      <c r="B2" s="6" t="s">
        <v>318</v>
      </c>
      <c r="C2" s="6" t="s">
        <v>242</v>
      </c>
      <c r="D2" s="6" t="s">
        <v>319</v>
      </c>
      <c r="E2" s="6" t="s">
        <v>320</v>
      </c>
      <c r="F2" s="18">
        <v>9.5</v>
      </c>
      <c r="G2" s="18">
        <v>18</v>
      </c>
      <c r="H2" s="20">
        <f>IF(G2="","",G2-F2)</f>
        <v>8.5</v>
      </c>
      <c r="I2" s="19">
        <f>IF(G2="","",(G2-F2)/G2)</f>
        <v>0.4722222222222222</v>
      </c>
      <c r="J2" s="7">
        <v>24</v>
      </c>
      <c r="K2" s="7">
        <v>6</v>
      </c>
      <c r="L2" s="6" t="str">
        <f>IF(J2&lt;=K2,"Stock bajo","Normal")</f>
        <v>Normal</v>
      </c>
      <c r="M2" s="20">
        <f>F2*J2</f>
        <v>228</v>
      </c>
      <c r="N2" s="6" t="s">
        <v>321</v>
      </c>
    </row>
    <row r="3" spans="1:14" x14ac:dyDescent="0.25">
      <c r="A3" s="6" t="s">
        <v>322</v>
      </c>
      <c r="B3" s="6" t="s">
        <v>323</v>
      </c>
      <c r="C3" s="6" t="s">
        <v>242</v>
      </c>
      <c r="D3" s="6" t="s">
        <v>319</v>
      </c>
      <c r="E3" s="6" t="s">
        <v>320</v>
      </c>
      <c r="F3" s="18">
        <v>9.5</v>
      </c>
      <c r="G3" s="18">
        <v>18</v>
      </c>
      <c r="H3" s="20">
        <f>IF(G3="","",G3-F3)</f>
        <v>8.5</v>
      </c>
      <c r="I3" s="19">
        <f>IF(G3="","",(G3-F3)/G3)</f>
        <v>0.4722222222222222</v>
      </c>
      <c r="J3" s="7">
        <v>20</v>
      </c>
      <c r="K3" s="7">
        <v>6</v>
      </c>
      <c r="L3" s="6" t="str">
        <f>IF(J3&lt;=K3,"Stock bajo","Normal")</f>
        <v>Normal</v>
      </c>
      <c r="M3" s="20">
        <f>F3*J3</f>
        <v>190</v>
      </c>
      <c r="N3" s="6" t="s">
        <v>324</v>
      </c>
    </row>
    <row r="4" spans="1:14" x14ac:dyDescent="0.25">
      <c r="A4" s="6" t="s">
        <v>325</v>
      </c>
      <c r="B4" s="6" t="s">
        <v>326</v>
      </c>
      <c r="C4" s="6" t="s">
        <v>242</v>
      </c>
      <c r="D4" s="6" t="s">
        <v>319</v>
      </c>
      <c r="E4" s="6" t="s">
        <v>320</v>
      </c>
      <c r="F4" s="18">
        <v>12</v>
      </c>
      <c r="G4" s="18">
        <v>24</v>
      </c>
      <c r="H4" s="20">
        <f>IF(G4="","",G4-F4)</f>
        <v>12</v>
      </c>
      <c r="I4" s="19">
        <f>IF(G4="","",(G4-F4)/G4)</f>
        <v>0.5</v>
      </c>
      <c r="J4" s="7">
        <v>15</v>
      </c>
      <c r="K4" s="7">
        <v>4</v>
      </c>
      <c r="L4" s="6" t="str">
        <f>IF(J4&lt;=K4,"Stock bajo","Normal")</f>
        <v>Normal</v>
      </c>
      <c r="M4" s="20">
        <f>F4*J4</f>
        <v>180</v>
      </c>
      <c r="N4" s="6" t="s">
        <v>327</v>
      </c>
    </row>
    <row r="5" spans="1:14" x14ac:dyDescent="0.25">
      <c r="A5" s="6" t="s">
        <v>328</v>
      </c>
      <c r="B5" s="6" t="s">
        <v>329</v>
      </c>
      <c r="C5" s="6" t="s">
        <v>242</v>
      </c>
      <c r="D5" s="6" t="s">
        <v>319</v>
      </c>
      <c r="E5" s="6" t="s">
        <v>320</v>
      </c>
      <c r="F5" s="18">
        <v>8</v>
      </c>
      <c r="G5" s="18">
        <v>19</v>
      </c>
      <c r="H5" s="20">
        <f>IF(G5="","",G5-F5)</f>
        <v>11</v>
      </c>
      <c r="I5" s="19">
        <f>IF(G5="","",(G5-F5)/G5)</f>
        <v>0.5789473684210527</v>
      </c>
      <c r="J5" s="7">
        <v>18</v>
      </c>
      <c r="K5" s="7">
        <v>5</v>
      </c>
      <c r="L5" s="6" t="str">
        <f>IF(J5&lt;=K5,"Stock bajo","Normal")</f>
        <v>Normal</v>
      </c>
      <c r="M5" s="20">
        <f>F5*J5</f>
        <v>144</v>
      </c>
      <c r="N5" s="6" t="s">
        <v>330</v>
      </c>
    </row>
    <row r="6" spans="1:14" x14ac:dyDescent="0.25">
      <c r="A6" s="6" t="s">
        <v>331</v>
      </c>
      <c r="B6" s="6" t="s">
        <v>332</v>
      </c>
      <c r="C6" s="6" t="s">
        <v>242</v>
      </c>
      <c r="D6" s="6" t="s">
        <v>319</v>
      </c>
      <c r="E6" s="6" t="s">
        <v>320</v>
      </c>
      <c r="F6" s="18">
        <v>7</v>
      </c>
      <c r="G6" s="18">
        <v>15</v>
      </c>
      <c r="H6" s="20">
        <f>IF(G6="","",G6-F6)</f>
        <v>8</v>
      </c>
      <c r="I6" s="19">
        <f>IF(G6="","",(G6-F6)/G6)</f>
        <v>0.5333333333333333</v>
      </c>
      <c r="J6" s="7">
        <v>14</v>
      </c>
      <c r="K6" s="7">
        <v>4</v>
      </c>
      <c r="L6" s="6" t="str">
        <f>IF(J6&lt;=K6,"Stock bajo","Normal")</f>
        <v>Normal</v>
      </c>
      <c r="M6" s="20">
        <f>F6*J6</f>
        <v>98</v>
      </c>
      <c r="N6" s="6" t="s">
        <v>333</v>
      </c>
    </row>
    <row r="7" spans="1:14" x14ac:dyDescent="0.25">
      <c r="A7" s="6" t="s">
        <v>334</v>
      </c>
      <c r="B7" s="6" t="s">
        <v>335</v>
      </c>
      <c r="C7" s="6" t="s">
        <v>242</v>
      </c>
      <c r="D7" s="6" t="s">
        <v>319</v>
      </c>
      <c r="E7" s="6" t="s">
        <v>320</v>
      </c>
      <c r="F7" s="18">
        <v>10</v>
      </c>
      <c r="G7" s="18">
        <v>20</v>
      </c>
      <c r="H7" s="20">
        <f>IF(G7="","",G7-F7)</f>
        <v>10</v>
      </c>
      <c r="I7" s="19">
        <f>IF(G7="","",(G7-F7)/G7)</f>
        <v>0.5</v>
      </c>
      <c r="J7" s="7">
        <v>10</v>
      </c>
      <c r="K7" s="7">
        <v>4</v>
      </c>
      <c r="L7" s="6" t="str">
        <f>IF(J7&lt;=K7,"Stock bajo","Normal")</f>
        <v>Normal</v>
      </c>
      <c r="M7" s="20">
        <f>F7*J7</f>
        <v>100</v>
      </c>
      <c r="N7" s="6" t="s">
        <v>336</v>
      </c>
    </row>
    <row r="8" spans="1:14" x14ac:dyDescent="0.25">
      <c r="A8" s="6" t="s">
        <v>337</v>
      </c>
      <c r="B8" s="6" t="s">
        <v>338</v>
      </c>
      <c r="C8" s="6" t="s">
        <v>242</v>
      </c>
      <c r="D8" s="6" t="s">
        <v>319</v>
      </c>
      <c r="E8" s="6" t="s">
        <v>320</v>
      </c>
      <c r="F8" s="18">
        <v>7.5</v>
      </c>
      <c r="G8" s="18">
        <v>16</v>
      </c>
      <c r="H8" s="20">
        <f>IF(G8="","",G8-F8)</f>
        <v>8.5</v>
      </c>
      <c r="I8" s="19">
        <f>IF(G8="","",(G8-F8)/G8)</f>
        <v>0.53125</v>
      </c>
      <c r="J8" s="7">
        <v>3</v>
      </c>
      <c r="K8" s="7">
        <v>4</v>
      </c>
      <c r="L8" s="6" t="str">
        <f>IF(J8&lt;=K8,"Stock bajo","Normal")</f>
        <v>Stock bajo</v>
      </c>
      <c r="M8" s="20">
        <f>F8*J8</f>
        <v>22.5</v>
      </c>
      <c r="N8" s="6" t="s">
        <v>339</v>
      </c>
    </row>
    <row r="9" spans="1:14" x14ac:dyDescent="0.25">
      <c r="A9" s="6" t="s">
        <v>340</v>
      </c>
      <c r="B9" s="6" t="s">
        <v>341</v>
      </c>
      <c r="C9" s="6" t="s">
        <v>234</v>
      </c>
      <c r="D9" s="6" t="s">
        <v>342</v>
      </c>
      <c r="E9" s="6" t="s">
        <v>320</v>
      </c>
      <c r="F9" s="18">
        <v>6</v>
      </c>
      <c r="G9" s="18">
        <v>14</v>
      </c>
      <c r="H9" s="20">
        <f>IF(G9="","",G9-F9)</f>
        <v>8</v>
      </c>
      <c r="I9" s="19">
        <f>IF(G9="","",(G9-F9)/G9)</f>
        <v>0.5714285714285714</v>
      </c>
      <c r="J9" s="7">
        <v>16</v>
      </c>
      <c r="K9" s="7">
        <v>5</v>
      </c>
      <c r="L9" s="6" t="str">
        <f>IF(J9&lt;=K9,"Stock bajo","Normal")</f>
        <v>Normal</v>
      </c>
      <c r="M9" s="20">
        <f>F9*J9</f>
        <v>96</v>
      </c>
      <c r="N9" s="6" t="s">
        <v>343</v>
      </c>
    </row>
    <row r="10" spans="1:14" x14ac:dyDescent="0.25">
      <c r="A10" s="6" t="s">
        <v>344</v>
      </c>
      <c r="B10" s="6" t="s">
        <v>345</v>
      </c>
      <c r="C10" s="6" t="s">
        <v>234</v>
      </c>
      <c r="D10" s="6" t="s">
        <v>342</v>
      </c>
      <c r="E10" s="6" t="s">
        <v>320</v>
      </c>
      <c r="F10" s="18">
        <v>6</v>
      </c>
      <c r="G10" s="18">
        <v>14</v>
      </c>
      <c r="H10" s="20">
        <f>IF(G10="","",G10-F10)</f>
        <v>8</v>
      </c>
      <c r="I10" s="19">
        <f>IF(G10="","",(G10-F10)/G10)</f>
        <v>0.5714285714285714</v>
      </c>
      <c r="J10" s="7">
        <v>12</v>
      </c>
      <c r="K10" s="7">
        <v>5</v>
      </c>
      <c r="L10" s="6" t="str">
        <f>IF(J10&lt;=K10,"Stock bajo","Normal")</f>
        <v>Normal</v>
      </c>
      <c r="M10" s="20">
        <f>F10*J10</f>
        <v>72</v>
      </c>
      <c r="N10" s="6" t="s">
        <v>346</v>
      </c>
    </row>
    <row r="11" spans="1:14" x14ac:dyDescent="0.25">
      <c r="A11" s="6" t="s">
        <v>347</v>
      </c>
      <c r="B11" s="6" t="s">
        <v>348</v>
      </c>
      <c r="C11" s="6" t="s">
        <v>234</v>
      </c>
      <c r="D11" s="6" t="s">
        <v>342</v>
      </c>
      <c r="E11" s="6" t="s">
        <v>320</v>
      </c>
      <c r="F11" s="18">
        <v>5.5</v>
      </c>
      <c r="G11" s="18">
        <v>15</v>
      </c>
      <c r="H11" s="20">
        <f>IF(G11="","",G11-F11)</f>
        <v>9.5</v>
      </c>
      <c r="I11" s="19">
        <f>IF(G11="","",(G11-F11)/G11)</f>
        <v>0.6333333333333333</v>
      </c>
      <c r="J11" s="7">
        <v>20</v>
      </c>
      <c r="K11" s="7">
        <v>5</v>
      </c>
      <c r="L11" s="6" t="str">
        <f>IF(J11&lt;=K11,"Stock bajo","Normal")</f>
        <v>Normal</v>
      </c>
      <c r="M11" s="20">
        <f>F11*J11</f>
        <v>110</v>
      </c>
      <c r="N11" s="6" t="s">
        <v>349</v>
      </c>
    </row>
    <row r="12" spans="1:14" x14ac:dyDescent="0.25">
      <c r="A12" s="6" t="s">
        <v>350</v>
      </c>
      <c r="B12" s="6" t="s">
        <v>351</v>
      </c>
      <c r="C12" s="6" t="s">
        <v>234</v>
      </c>
      <c r="D12" s="6" t="s">
        <v>342</v>
      </c>
      <c r="E12" s="6" t="s">
        <v>320</v>
      </c>
      <c r="F12" s="18">
        <v>6</v>
      </c>
      <c r="G12" s="18">
        <v>15</v>
      </c>
      <c r="H12" s="20">
        <f>IF(G12="","",G12-F12)</f>
        <v>9</v>
      </c>
      <c r="I12" s="19">
        <f>IF(G12="","",(G12-F12)/G12)</f>
        <v>0.6</v>
      </c>
      <c r="J12" s="7">
        <v>2</v>
      </c>
      <c r="K12" s="7">
        <v>4</v>
      </c>
      <c r="L12" s="6" t="str">
        <f>IF(J12&lt;=K12,"Stock bajo","Normal")</f>
        <v>Stock bajo</v>
      </c>
      <c r="M12" s="20">
        <f>F12*J12</f>
        <v>12</v>
      </c>
      <c r="N12" s="6" t="s">
        <v>352</v>
      </c>
    </row>
    <row r="13" spans="1:14" x14ac:dyDescent="0.25">
      <c r="A13" s="6" t="s">
        <v>353</v>
      </c>
      <c r="B13" s="6" t="s">
        <v>354</v>
      </c>
      <c r="C13" s="6" t="s">
        <v>234</v>
      </c>
      <c r="D13" s="6" t="s">
        <v>342</v>
      </c>
      <c r="E13" s="6" t="s">
        <v>320</v>
      </c>
      <c r="F13" s="18">
        <v>5</v>
      </c>
      <c r="G13" s="18">
        <v>12</v>
      </c>
      <c r="H13" s="20">
        <f>IF(G13="","",G13-F13)</f>
        <v>7</v>
      </c>
      <c r="I13" s="19">
        <f>IF(G13="","",(G13-F13)/G13)</f>
        <v>0.5833333333333334</v>
      </c>
      <c r="J13" s="7">
        <v>11</v>
      </c>
      <c r="K13" s="7">
        <v>4</v>
      </c>
      <c r="L13" s="6" t="str">
        <f>IF(J13&lt;=K13,"Stock bajo","Normal")</f>
        <v>Normal</v>
      </c>
      <c r="M13" s="20">
        <f>F13*J13</f>
        <v>55</v>
      </c>
      <c r="N13" s="6" t="s">
        <v>355</v>
      </c>
    </row>
    <row r="14" spans="1:14" x14ac:dyDescent="0.25">
      <c r="A14" s="6" t="s">
        <v>356</v>
      </c>
      <c r="B14" s="6" t="s">
        <v>357</v>
      </c>
      <c r="C14" s="6" t="s">
        <v>358</v>
      </c>
      <c r="D14" s="6" t="s">
        <v>359</v>
      </c>
      <c r="E14" s="6" t="s">
        <v>320</v>
      </c>
      <c r="F14" s="18">
        <v>8</v>
      </c>
      <c r="G14" s="18">
        <v>20</v>
      </c>
      <c r="H14" s="20">
        <f>IF(G14="","",G14-F14)</f>
        <v>12</v>
      </c>
      <c r="I14" s="19">
        <f>IF(G14="","",(G14-F14)/G14)</f>
        <v>0.6</v>
      </c>
      <c r="J14" s="7">
        <v>14</v>
      </c>
      <c r="K14" s="7">
        <v>4</v>
      </c>
      <c r="L14" s="6" t="str">
        <f>IF(J14&lt;=K14,"Stock bajo","Normal")</f>
        <v>Normal</v>
      </c>
      <c r="M14" s="20">
        <f>F14*J14</f>
        <v>112</v>
      </c>
      <c r="N14" s="6" t="s">
        <v>360</v>
      </c>
    </row>
    <row r="15" spans="1:14" x14ac:dyDescent="0.25">
      <c r="A15" s="6" t="s">
        <v>361</v>
      </c>
      <c r="B15" s="6" t="s">
        <v>362</v>
      </c>
      <c r="C15" s="6" t="s">
        <v>358</v>
      </c>
      <c r="D15" s="6" t="s">
        <v>359</v>
      </c>
      <c r="E15" s="6" t="s">
        <v>320</v>
      </c>
      <c r="F15" s="18">
        <v>11</v>
      </c>
      <c r="G15" s="18">
        <v>32</v>
      </c>
      <c r="H15" s="20">
        <f>IF(G15="","",G15-F15)</f>
        <v>21</v>
      </c>
      <c r="I15" s="19">
        <f>IF(G15="","",(G15-F15)/G15)</f>
        <v>0.65625</v>
      </c>
      <c r="J15" s="7">
        <v>9</v>
      </c>
      <c r="K15" s="7">
        <v>3</v>
      </c>
      <c r="L15" s="6" t="str">
        <f>IF(J15&lt;=K15,"Stock bajo","Normal")</f>
        <v>Normal</v>
      </c>
      <c r="M15" s="20">
        <f>F15*J15</f>
        <v>99</v>
      </c>
      <c r="N15" s="6" t="s">
        <v>363</v>
      </c>
    </row>
    <row r="16" spans="1:14" x14ac:dyDescent="0.25">
      <c r="A16" s="6" t="s">
        <v>364</v>
      </c>
      <c r="B16" s="6" t="s">
        <v>365</v>
      </c>
      <c r="C16" s="6" t="s">
        <v>358</v>
      </c>
      <c r="D16" s="6" t="s">
        <v>359</v>
      </c>
      <c r="E16" s="6" t="s">
        <v>320</v>
      </c>
      <c r="F16" s="18">
        <v>10</v>
      </c>
      <c r="G16" s="18">
        <v>28</v>
      </c>
      <c r="H16" s="20">
        <f>IF(G16="","",G16-F16)</f>
        <v>18</v>
      </c>
      <c r="I16" s="19">
        <f>IF(G16="","",(G16-F16)/G16)</f>
        <v>0.6428571428571429</v>
      </c>
      <c r="J16" s="7">
        <v>12</v>
      </c>
      <c r="K16" s="7">
        <v>3</v>
      </c>
      <c r="L16" s="6" t="str">
        <f>IF(J16&lt;=K16,"Stock bajo","Normal")</f>
        <v>Normal</v>
      </c>
      <c r="M16" s="20">
        <f>F16*J16</f>
        <v>120</v>
      </c>
      <c r="N16" s="6" t="s">
        <v>366</v>
      </c>
    </row>
    <row r="17" spans="1:14" x14ac:dyDescent="0.25">
      <c r="A17" s="6" t="s">
        <v>367</v>
      </c>
      <c r="B17" s="6" t="s">
        <v>368</v>
      </c>
      <c r="C17" s="6" t="s">
        <v>358</v>
      </c>
      <c r="D17" s="6" t="s">
        <v>359</v>
      </c>
      <c r="E17" s="6" t="s">
        <v>320</v>
      </c>
      <c r="F17" s="18">
        <v>9</v>
      </c>
      <c r="G17" s="18">
        <v>22</v>
      </c>
      <c r="H17" s="20">
        <f>IF(G17="","",G17-F17)</f>
        <v>13</v>
      </c>
      <c r="I17" s="19">
        <f>IF(G17="","",(G17-F17)/G17)</f>
        <v>0.5909090909090909</v>
      </c>
      <c r="J17" s="7">
        <v>16</v>
      </c>
      <c r="K17" s="7">
        <v>5</v>
      </c>
      <c r="L17" s="6" t="str">
        <f>IF(J17&lt;=K17,"Stock bajo","Normal")</f>
        <v>Normal</v>
      </c>
      <c r="M17" s="20">
        <f>F17*J17</f>
        <v>144</v>
      </c>
      <c r="N17" s="6" t="s">
        <v>369</v>
      </c>
    </row>
    <row r="18" spans="1:14" x14ac:dyDescent="0.25">
      <c r="A18" s="6" t="s">
        <v>370</v>
      </c>
      <c r="B18" s="6" t="s">
        <v>371</v>
      </c>
      <c r="C18" s="6" t="s">
        <v>295</v>
      </c>
      <c r="D18" s="6" t="s">
        <v>359</v>
      </c>
      <c r="E18" s="6" t="s">
        <v>320</v>
      </c>
      <c r="F18" s="18">
        <v>7</v>
      </c>
      <c r="G18" s="18">
        <v>18</v>
      </c>
      <c r="H18" s="20">
        <f>IF(G18="","",G18-F18)</f>
        <v>11</v>
      </c>
      <c r="I18" s="19">
        <f>IF(G18="","",(G18-F18)/G18)</f>
        <v>0.6111111111111112</v>
      </c>
      <c r="J18" s="7">
        <v>10</v>
      </c>
      <c r="K18" s="7">
        <v>3</v>
      </c>
      <c r="L18" s="6" t="str">
        <f>IF(J18&lt;=K18,"Stock bajo","Normal")</f>
        <v>Normal</v>
      </c>
      <c r="M18" s="20">
        <f>F18*J18</f>
        <v>70</v>
      </c>
      <c r="N18" s="6" t="s">
        <v>372</v>
      </c>
    </row>
    <row r="19" spans="1:14" x14ac:dyDescent="0.25">
      <c r="A19" s="6" t="s">
        <v>373</v>
      </c>
      <c r="B19" s="6" t="s">
        <v>374</v>
      </c>
      <c r="C19" s="6" t="s">
        <v>295</v>
      </c>
      <c r="D19" s="6" t="s">
        <v>359</v>
      </c>
      <c r="E19" s="6" t="s">
        <v>320</v>
      </c>
      <c r="F19" s="18">
        <v>6</v>
      </c>
      <c r="G19" s="18">
        <v>16</v>
      </c>
      <c r="H19" s="20">
        <f>IF(G19="","",G19-F19)</f>
        <v>10</v>
      </c>
      <c r="I19" s="19">
        <f>IF(G19="","",(G19-F19)/G19)</f>
        <v>0.625</v>
      </c>
      <c r="J19" s="7">
        <v>8</v>
      </c>
      <c r="K19" s="7">
        <v>3</v>
      </c>
      <c r="L19" s="6" t="str">
        <f>IF(J19&lt;=K19,"Stock bajo","Normal")</f>
        <v>Normal</v>
      </c>
      <c r="M19" s="20">
        <f>F19*J19</f>
        <v>48</v>
      </c>
      <c r="N19" s="6" t="s">
        <v>375</v>
      </c>
    </row>
    <row r="20" spans="1:14" x14ac:dyDescent="0.25">
      <c r="A20" s="6" t="s">
        <v>376</v>
      </c>
      <c r="B20" s="6" t="s">
        <v>377</v>
      </c>
      <c r="C20" s="6" t="s">
        <v>254</v>
      </c>
      <c r="D20" s="6" t="s">
        <v>378</v>
      </c>
      <c r="E20" s="6" t="s">
        <v>379</v>
      </c>
      <c r="F20" s="18">
        <v>4</v>
      </c>
      <c r="G20" s="18">
        <v>12</v>
      </c>
      <c r="H20" s="20">
        <f>IF(G20="","",G20-F20)</f>
        <v>8</v>
      </c>
      <c r="I20" s="19">
        <f>IF(G20="","",(G20-F20)/G20)</f>
        <v>0.6666666666666666</v>
      </c>
      <c r="J20" s="7">
        <v>40</v>
      </c>
      <c r="K20" s="7">
        <v>10</v>
      </c>
      <c r="L20" s="6" t="str">
        <f>IF(J20&lt;=K20,"Stock bajo","Normal")</f>
        <v>Normal</v>
      </c>
      <c r="M20" s="20">
        <f>F20*J20</f>
        <v>160</v>
      </c>
      <c r="N20" s="6" t="s">
        <v>380</v>
      </c>
    </row>
    <row r="21" spans="1:14" x14ac:dyDescent="0.25">
      <c r="A21" s="6" t="s">
        <v>381</v>
      </c>
      <c r="B21" s="6" t="s">
        <v>382</v>
      </c>
      <c r="C21" s="6" t="s">
        <v>254</v>
      </c>
      <c r="D21" s="6" t="s">
        <v>378</v>
      </c>
      <c r="E21" s="6" t="s">
        <v>320</v>
      </c>
      <c r="F21" s="18">
        <v>2.5</v>
      </c>
      <c r="G21" s="18">
        <v>8</v>
      </c>
      <c r="H21" s="20">
        <f>IF(G21="","",G21-F21)</f>
        <v>5.5</v>
      </c>
      <c r="I21" s="19">
        <f>IF(G21="","",(G21-F21)/G21)</f>
        <v>0.6875</v>
      </c>
      <c r="J21" s="7">
        <v>22</v>
      </c>
      <c r="K21" s="7">
        <v>6</v>
      </c>
      <c r="L21" s="6" t="str">
        <f>IF(J21&lt;=K21,"Stock bajo","Normal")</f>
        <v>Normal</v>
      </c>
      <c r="M21" s="20">
        <f>F21*J21</f>
        <v>55</v>
      </c>
      <c r="N21" s="6" t="s">
        <v>383</v>
      </c>
    </row>
    <row r="22" spans="1:14" x14ac:dyDescent="0.25">
      <c r="A22" s="6" t="s">
        <v>384</v>
      </c>
      <c r="B22" s="6" t="s">
        <v>385</v>
      </c>
      <c r="C22" s="6" t="s">
        <v>254</v>
      </c>
      <c r="D22" s="6" t="s">
        <v>378</v>
      </c>
      <c r="E22" s="6" t="s">
        <v>320</v>
      </c>
      <c r="F22" s="18">
        <v>3.5</v>
      </c>
      <c r="G22" s="18">
        <v>10</v>
      </c>
      <c r="H22" s="20">
        <f>IF(G22="","",G22-F22)</f>
        <v>6.5</v>
      </c>
      <c r="I22" s="19">
        <f>IF(G22="","",(G22-F22)/G22)</f>
        <v>0.65</v>
      </c>
      <c r="J22" s="7">
        <v>18</v>
      </c>
      <c r="K22" s="7">
        <v>5</v>
      </c>
      <c r="L22" s="6" t="str">
        <f>IF(J22&lt;=K22,"Stock bajo","Normal")</f>
        <v>Normal</v>
      </c>
      <c r="M22" s="20">
        <f>F22*J22</f>
        <v>63</v>
      </c>
      <c r="N22" s="6" t="s">
        <v>386</v>
      </c>
    </row>
    <row r="23" spans="1:14" x14ac:dyDescent="0.25">
      <c r="A23" s="6" t="s">
        <v>387</v>
      </c>
      <c r="B23" s="6" t="s">
        <v>388</v>
      </c>
      <c r="C23" s="6" t="s">
        <v>389</v>
      </c>
      <c r="D23" s="6" t="s">
        <v>390</v>
      </c>
      <c r="E23" s="6" t="s">
        <v>391</v>
      </c>
      <c r="F23" s="18">
        <v>4.5</v>
      </c>
      <c r="G23" s="18"/>
      <c r="H23" s="20" t="str">
        <f>IF(G23="","",G23-F23)</f>
        <v/>
      </c>
      <c r="I23" s="19" t="str">
        <f>IF(G23="","",(G23-F23)/G23)</f>
        <v/>
      </c>
      <c r="J23" s="7">
        <v>60</v>
      </c>
      <c r="K23" s="7">
        <v>20</v>
      </c>
      <c r="L23" s="6" t="str">
        <f>IF(J23&lt;=K23,"Stock bajo","Normal")</f>
        <v>Normal</v>
      </c>
      <c r="M23" s="20">
        <f>F23*J23</f>
        <v>270</v>
      </c>
      <c r="N23" s="6" t="s">
        <v>392</v>
      </c>
    </row>
    <row r="24" spans="1:14" x14ac:dyDescent="0.25">
      <c r="A24" s="6" t="s">
        <v>393</v>
      </c>
      <c r="B24" s="6" t="s">
        <v>394</v>
      </c>
      <c r="C24" s="6" t="s">
        <v>389</v>
      </c>
      <c r="D24" s="6" t="s">
        <v>390</v>
      </c>
      <c r="E24" s="6" t="s">
        <v>391</v>
      </c>
      <c r="F24" s="18">
        <v>6</v>
      </c>
      <c r="G24" s="18"/>
      <c r="H24" s="20" t="str">
        <f>IF(G24="","",G24-F24)</f>
        <v/>
      </c>
      <c r="I24" s="19" t="str">
        <f>IF(G24="","",(G24-F24)/G24)</f>
        <v/>
      </c>
      <c r="J24" s="7">
        <v>8</v>
      </c>
      <c r="K24" s="7">
        <v>3</v>
      </c>
      <c r="L24" s="6" t="str">
        <f>IF(J24&lt;=K24,"Stock bajo","Normal")</f>
        <v>Normal</v>
      </c>
      <c r="M24" s="20">
        <f>F24*J24</f>
        <v>48</v>
      </c>
      <c r="N24" s="6" t="s">
        <v>395</v>
      </c>
    </row>
    <row r="25" spans="1:14" x14ac:dyDescent="0.25">
      <c r="A25" s="6" t="s">
        <v>396</v>
      </c>
      <c r="B25" s="6" t="s">
        <v>397</v>
      </c>
      <c r="C25" s="6" t="s">
        <v>389</v>
      </c>
      <c r="D25" s="6" t="s">
        <v>390</v>
      </c>
      <c r="E25" s="6" t="s">
        <v>391</v>
      </c>
      <c r="F25" s="18">
        <v>14</v>
      </c>
      <c r="G25" s="18"/>
      <c r="H25" s="20" t="str">
        <f>IF(G25="","",G25-F25)</f>
        <v/>
      </c>
      <c r="I25" s="19" t="str">
        <f>IF(G25="","",(G25-F25)/G25)</f>
        <v/>
      </c>
      <c r="J25" s="7">
        <v>5</v>
      </c>
      <c r="K25" s="7">
        <v>2</v>
      </c>
      <c r="L25" s="6" t="str">
        <f>IF(J25&lt;=K25,"Stock bajo","Normal")</f>
        <v>Normal</v>
      </c>
      <c r="M25" s="20">
        <f>F25*J25</f>
        <v>70</v>
      </c>
      <c r="N25" s="6" t="s">
        <v>398</v>
      </c>
    </row>
    <row r="26" spans="1:14" x14ac:dyDescent="0.25">
      <c r="A26" s="6" t="s">
        <v>399</v>
      </c>
      <c r="B26" s="6" t="s">
        <v>400</v>
      </c>
      <c r="C26" s="6" t="s">
        <v>401</v>
      </c>
      <c r="D26" s="6" t="s">
        <v>319</v>
      </c>
      <c r="E26" s="6" t="s">
        <v>391</v>
      </c>
      <c r="F26" s="18">
        <v>45</v>
      </c>
      <c r="G26" s="18"/>
      <c r="H26" s="20" t="str">
        <f>IF(G26="","",G26-F26)</f>
        <v/>
      </c>
      <c r="I26" s="19" t="str">
        <f>IF(G26="","",(G26-F26)/G26)</f>
        <v/>
      </c>
      <c r="J26" s="7">
        <v>3</v>
      </c>
      <c r="K26" s="7">
        <v>1</v>
      </c>
      <c r="L26" s="6" t="str">
        <f>IF(J26&lt;=K26,"Stock bajo","Normal")</f>
        <v>Normal</v>
      </c>
      <c r="M26" s="20">
        <f>F26*J26</f>
        <v>135</v>
      </c>
      <c r="N26" s="6" t="s">
        <v>402</v>
      </c>
    </row>
    <row r="27" spans="1:14" x14ac:dyDescent="0.25">
      <c r="A27" s="6" t="s">
        <v>403</v>
      </c>
      <c r="B27" s="6" t="s">
        <v>404</v>
      </c>
      <c r="C27" s="6" t="s">
        <v>405</v>
      </c>
      <c r="D27" s="6" t="s">
        <v>359</v>
      </c>
      <c r="E27" s="6" t="s">
        <v>391</v>
      </c>
      <c r="F27" s="18">
        <v>12</v>
      </c>
      <c r="G27" s="18"/>
      <c r="H27" s="20" t="str">
        <f>IF(G27="","",G27-F27)</f>
        <v/>
      </c>
      <c r="I27" s="19" t="str">
        <f>IF(G27="","",(G27-F27)/G27)</f>
        <v/>
      </c>
      <c r="J27" s="7">
        <v>6</v>
      </c>
      <c r="K27" s="7">
        <v>2</v>
      </c>
      <c r="L27" s="6" t="str">
        <f>IF(J27&lt;=K27,"Stock bajo","Normal")</f>
        <v>Normal</v>
      </c>
      <c r="M27" s="20">
        <f>F27*J27</f>
        <v>72</v>
      </c>
      <c r="N27" s="6" t="s">
        <v>406</v>
      </c>
    </row>
    <row r="28" spans="1:14" x14ac:dyDescent="0.25">
      <c r="A28" s="6" t="s">
        <v>407</v>
      </c>
      <c r="B28" s="6" t="s">
        <v>408</v>
      </c>
      <c r="C28" s="6" t="s">
        <v>409</v>
      </c>
      <c r="D28" s="6" t="s">
        <v>410</v>
      </c>
      <c r="E28" s="6" t="s">
        <v>391</v>
      </c>
      <c r="F28" s="18">
        <v>9</v>
      </c>
      <c r="G28" s="18"/>
      <c r="H28" s="20" t="str">
        <f>IF(G28="","",G28-F28)</f>
        <v/>
      </c>
      <c r="I28" s="19" t="str">
        <f>IF(G28="","",(G28-F28)/G28)</f>
        <v/>
      </c>
      <c r="J28" s="7">
        <v>4</v>
      </c>
      <c r="K28" s="7">
        <v>2</v>
      </c>
      <c r="L28" s="6" t="str">
        <f>IF(J28&lt;=K28,"Stock bajo","Normal")</f>
        <v>Normal</v>
      </c>
      <c r="M28" s="20">
        <f>F28*J28</f>
        <v>36</v>
      </c>
      <c r="N28" s="6" t="s">
        <v>411</v>
      </c>
    </row>
    <row r="29" spans="1:14" x14ac:dyDescent="0.25">
      <c r="A29" s="6" t="s">
        <v>412</v>
      </c>
      <c r="B29" s="6" t="s">
        <v>413</v>
      </c>
      <c r="C29" s="6" t="s">
        <v>409</v>
      </c>
      <c r="D29" s="6" t="s">
        <v>410</v>
      </c>
      <c r="E29" s="6" t="s">
        <v>391</v>
      </c>
      <c r="F29" s="18">
        <v>8</v>
      </c>
      <c r="G29" s="18"/>
      <c r="H29" s="20" t="str">
        <f>IF(G29="","",G29-F29)</f>
        <v/>
      </c>
      <c r="I29" s="19" t="str">
        <f>IF(G29="","",(G29-F29)/G29)</f>
        <v/>
      </c>
      <c r="J29" s="7">
        <v>12</v>
      </c>
      <c r="K29" s="7">
        <v>4</v>
      </c>
      <c r="L29" s="6" t="str">
        <f>IF(J29&lt;=K29,"Stock bajo","Normal")</f>
        <v>Normal</v>
      </c>
      <c r="M29" s="20">
        <f>F29*J29</f>
        <v>96</v>
      </c>
      <c r="N29" s="6" t="s">
        <v>414</v>
      </c>
    </row>
    <row r="30" spans="1:14" x14ac:dyDescent="0.25">
      <c r="A30" s="6" t="s">
        <v>415</v>
      </c>
      <c r="B30" s="6" t="s">
        <v>416</v>
      </c>
      <c r="C30" s="6" t="s">
        <v>401</v>
      </c>
      <c r="D30" s="6" t="s">
        <v>359</v>
      </c>
      <c r="E30" s="6" t="s">
        <v>391</v>
      </c>
      <c r="F30" s="18">
        <v>15</v>
      </c>
      <c r="G30" s="18"/>
      <c r="H30" s="20" t="str">
        <f>IF(G30="","",G30-F30)</f>
        <v/>
      </c>
      <c r="I30" s="19" t="str">
        <f>IF(G30="","",(G30-F30)/G30)</f>
        <v/>
      </c>
      <c r="J30" s="7">
        <v>4</v>
      </c>
      <c r="K30" s="7">
        <v>1</v>
      </c>
      <c r="L30" s="6" t="str">
        <f>IF(J30&lt;=K30,"Stock bajo","Normal")</f>
        <v>Normal</v>
      </c>
      <c r="M30" s="20">
        <f>F30*J30</f>
        <v>60</v>
      </c>
      <c r="N30" s="6" t="s">
        <v>417</v>
      </c>
    </row>
    <row r="31" spans="1:14" x14ac:dyDescent="0.25">
      <c r="A31" s="6" t="s">
        <v>418</v>
      </c>
      <c r="B31" s="6" t="s">
        <v>419</v>
      </c>
      <c r="C31" s="6" t="s">
        <v>420</v>
      </c>
      <c r="D31" s="6" t="s">
        <v>342</v>
      </c>
      <c r="E31" s="6" t="s">
        <v>391</v>
      </c>
      <c r="F31" s="18">
        <v>7</v>
      </c>
      <c r="G31" s="18"/>
      <c r="H31" s="20" t="str">
        <f>IF(G31="","",G31-F31)</f>
        <v/>
      </c>
      <c r="I31" s="19" t="str">
        <f>IF(G31="","",(G31-F31)/G31)</f>
        <v/>
      </c>
      <c r="J31" s="7">
        <v>10</v>
      </c>
      <c r="K31" s="7">
        <v>3</v>
      </c>
      <c r="L31" s="6" t="str">
        <f>IF(J31&lt;=K31,"Stock bajo","Normal")</f>
        <v>Normal</v>
      </c>
      <c r="M31" s="20">
        <f>F31*J31</f>
        <v>70</v>
      </c>
      <c r="N31" s="6" t="s">
        <v>421</v>
      </c>
    </row>
    <row r="32" spans="1:14" x14ac:dyDescent="0.25">
      <c r="A32" s="6" t="s">
        <v>422</v>
      </c>
      <c r="B32" s="6" t="s">
        <v>423</v>
      </c>
      <c r="C32" s="6" t="s">
        <v>424</v>
      </c>
      <c r="D32" s="6" t="s">
        <v>425</v>
      </c>
      <c r="E32" s="6" t="s">
        <v>391</v>
      </c>
      <c r="F32" s="18">
        <v>10</v>
      </c>
      <c r="G32" s="18"/>
      <c r="H32" s="20" t="str">
        <f>IF(G32="","",G32-F32)</f>
        <v/>
      </c>
      <c r="I32" s="19" t="str">
        <f>IF(G32="","",(G32-F32)/G32)</f>
        <v/>
      </c>
      <c r="J32" s="7">
        <v>7</v>
      </c>
      <c r="K32" s="7">
        <v>3</v>
      </c>
      <c r="L32" s="6" t="str">
        <f>IF(J32&lt;=K32,"Stock bajo","Normal")</f>
        <v>Normal</v>
      </c>
      <c r="M32" s="20">
        <f>F32*J32</f>
        <v>70</v>
      </c>
      <c r="N32" s="6" t="s">
        <v>426</v>
      </c>
    </row>
    <row r="33" spans="2:13" s="3" customFormat="1" x14ac:dyDescent="0.25">
      <c r="B33" s="3" t="s">
        <v>427</v>
      </c>
      <c r="J33" s="3">
        <f>SUM(J2:J32)</f>
        <v>433</v>
      </c>
      <c r="L33" s="3" t="str">
        <f>COUNTIF(L2:L32,"Stock bajo")&amp;" con stock bajo"</f>
        <v>2 con stock bajo</v>
      </c>
      <c r="M33" s="22">
        <f>SUM(M2:M32)</f>
        <v>3105.5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8" customWidth="1"/>
    <col min="6" max="8" width="12" customWidth="1"/>
    <col min="9" max="9" width="11" customWidth="1"/>
    <col min="11" max="11" width="40" customWidth="1"/>
  </cols>
  <sheetData>
    <row r="1" ht="30" customHeight="1" spans="1:11" s="5" customFormat="1" x14ac:dyDescent="0.25">
      <c r="A1" s="5" t="s">
        <v>428</v>
      </c>
      <c r="B1" s="5" t="s">
        <v>429</v>
      </c>
      <c r="C1" s="5" t="s">
        <v>54</v>
      </c>
      <c r="D1" s="5" t="s">
        <v>430</v>
      </c>
      <c r="E1" s="5" t="s">
        <v>431</v>
      </c>
      <c r="F1" s="5" t="s">
        <v>432</v>
      </c>
      <c r="G1" s="5" t="s">
        <v>433</v>
      </c>
      <c r="H1" s="5" t="s">
        <v>434</v>
      </c>
      <c r="I1" s="5" t="s">
        <v>435</v>
      </c>
      <c r="J1" s="5" t="s">
        <v>436</v>
      </c>
      <c r="K1" s="5" t="s">
        <v>437</v>
      </c>
    </row>
    <row r="2" spans="1:11" x14ac:dyDescent="0.25">
      <c r="A2" s="6" t="s">
        <v>438</v>
      </c>
      <c r="B2" s="6" t="s">
        <v>106</v>
      </c>
      <c r="C2" s="6" t="s">
        <v>271</v>
      </c>
      <c r="D2" s="7">
        <v>6</v>
      </c>
      <c r="E2" s="7">
        <v>14</v>
      </c>
      <c r="F2" s="18">
        <v>45</v>
      </c>
      <c r="G2" s="20">
        <f>D2*F2</f>
        <v>270</v>
      </c>
      <c r="H2" s="17">
        <v>46244</v>
      </c>
      <c r="I2" s="6">
        <f>COUNTIFS(Sesiones!$A:$A,A2,Sesiones!$E:$E,"Completada")</f>
        <v>5</v>
      </c>
      <c r="J2" s="23">
        <f>IF(D2=0,0,I2/D2)</f>
        <v>0.8333333333333334</v>
      </c>
      <c r="K2" s="6" t="s">
        <v>439</v>
      </c>
    </row>
    <row r="3" spans="1:11" x14ac:dyDescent="0.25">
      <c r="A3" s="6" t="s">
        <v>440</v>
      </c>
      <c r="B3" s="6" t="s">
        <v>113</v>
      </c>
      <c r="C3" s="6" t="s">
        <v>441</v>
      </c>
      <c r="D3" s="7">
        <v>8</v>
      </c>
      <c r="E3" s="7">
        <v>14</v>
      </c>
      <c r="F3" s="18">
        <v>55</v>
      </c>
      <c r="G3" s="20">
        <f>D3*F3</f>
        <v>440</v>
      </c>
      <c r="H3" s="17">
        <v>46204</v>
      </c>
      <c r="I3" s="6">
        <f>COUNTIFS(Sesiones!$A:$A,A3,Sesiones!$E:$E,"Completada")</f>
        <v>7</v>
      </c>
      <c r="J3" s="23">
        <f>IF(D3=0,0,I3/D3)</f>
        <v>0.875</v>
      </c>
      <c r="K3" s="6" t="s">
        <v>442</v>
      </c>
    </row>
    <row r="4" spans="1:11" x14ac:dyDescent="0.25">
      <c r="A4" s="6" t="s">
        <v>443</v>
      </c>
      <c r="B4" s="6" t="s">
        <v>120</v>
      </c>
      <c r="C4" s="6" t="s">
        <v>271</v>
      </c>
      <c r="D4" s="7">
        <v>6</v>
      </c>
      <c r="E4" s="7">
        <v>21</v>
      </c>
      <c r="F4" s="18">
        <v>60</v>
      </c>
      <c r="G4" s="20">
        <f>D4*F4</f>
        <v>360</v>
      </c>
      <c r="H4" s="17">
        <v>46223</v>
      </c>
      <c r="I4" s="6">
        <f>COUNTIFS(Sesiones!$A:$A,A4,Sesiones!$E:$E,"Completada")</f>
        <v>4</v>
      </c>
      <c r="J4" s="23">
        <f>IF(D4=0,0,I4/D4)</f>
        <v>0.6666666666666666</v>
      </c>
      <c r="K4" s="6" t="s">
        <v>444</v>
      </c>
    </row>
    <row r="5" spans="1:11" x14ac:dyDescent="0.25">
      <c r="A5" s="6" t="s">
        <v>445</v>
      </c>
      <c r="B5" s="6" t="s">
        <v>127</v>
      </c>
      <c r="C5" s="6" t="s">
        <v>441</v>
      </c>
      <c r="D5" s="7">
        <v>4</v>
      </c>
      <c r="E5" s="7">
        <v>30</v>
      </c>
      <c r="F5" s="18">
        <v>85</v>
      </c>
      <c r="G5" s="20">
        <f>D5*F5</f>
        <v>340</v>
      </c>
      <c r="H5" s="17">
        <v>46218</v>
      </c>
      <c r="I5" s="6">
        <f>COUNTIFS(Sesiones!$A:$A,A5,Sesiones!$E:$E,"Completada")</f>
        <v>3</v>
      </c>
      <c r="J5" s="23">
        <f>IF(D5=0,0,I5/D5)</f>
        <v>0.75</v>
      </c>
      <c r="K5" s="6" t="s">
        <v>446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8" customWidth="1"/>
    <col min="4" max="5" width="12" customWidth="1"/>
    <col min="6" max="6" width="11" customWidth="1"/>
    <col min="7" max="7" width="40" customWidth="1"/>
  </cols>
  <sheetData>
    <row r="1" ht="30" customHeight="1" spans="1:7" s="5" customFormat="1" x14ac:dyDescent="0.25">
      <c r="A1" s="5" t="s">
        <v>428</v>
      </c>
      <c r="B1" s="5" t="s">
        <v>429</v>
      </c>
      <c r="C1" s="5" t="s">
        <v>447</v>
      </c>
      <c r="D1" s="5" t="s">
        <v>448</v>
      </c>
      <c r="E1" s="5" t="s">
        <v>315</v>
      </c>
      <c r="F1" s="5" t="s">
        <v>449</v>
      </c>
      <c r="G1" s="5" t="s">
        <v>30</v>
      </c>
    </row>
    <row r="2" spans="1:7" x14ac:dyDescent="0.25">
      <c r="A2" s="24" t="str">
        <f>Tratamientos!A2</f>
        <v>Gabriela Sánchez</v>
      </c>
      <c r="B2" s="24" t="str">
        <f>Tratamientos!B2</f>
        <v>Tratamiento facial para acné</v>
      </c>
      <c r="C2" s="6">
        <v>1</v>
      </c>
      <c r="D2" s="25">
        <f>Tratamientos!H2</f>
        <v>46244</v>
      </c>
      <c r="E2" s="6" t="s">
        <v>450</v>
      </c>
      <c r="F2" s="6" t="s">
        <v>451</v>
      </c>
      <c r="G2" s="6" t="s">
        <v>452</v>
      </c>
    </row>
    <row r="3" spans="1:7" x14ac:dyDescent="0.25">
      <c r="A3" s="24" t="str">
        <f>Tratamientos!A2</f>
        <v>Gabriela Sánchez</v>
      </c>
      <c r="B3" s="24" t="str">
        <f>Tratamientos!B2</f>
        <v>Tratamiento facial para acné</v>
      </c>
      <c r="C3" s="6">
        <v>2</v>
      </c>
      <c r="D3" s="25">
        <f>D2+Tratamientos!E2</f>
        <v>46258</v>
      </c>
      <c r="E3" s="6" t="s">
        <v>450</v>
      </c>
      <c r="F3" s="6" t="s">
        <v>451</v>
      </c>
      <c r="G3" s="6" t="s">
        <v>453</v>
      </c>
    </row>
    <row r="4" spans="1:7" x14ac:dyDescent="0.25">
      <c r="A4" s="24" t="str">
        <f>Tratamientos!A2</f>
        <v>Gabriela Sánchez</v>
      </c>
      <c r="B4" s="24" t="str">
        <f>Tratamientos!B2</f>
        <v>Tratamiento facial para acné</v>
      </c>
      <c r="C4" s="6">
        <v>3</v>
      </c>
      <c r="D4" s="25">
        <f>D3+Tratamientos!E2</f>
        <v>46272</v>
      </c>
      <c r="E4" s="6" t="s">
        <v>450</v>
      </c>
      <c r="F4" s="6" t="s">
        <v>451</v>
      </c>
      <c r="G4" s="6" t="s">
        <v>70</v>
      </c>
    </row>
    <row r="5" spans="1:7" x14ac:dyDescent="0.25">
      <c r="A5" s="24" t="str">
        <f>Tratamientos!A2</f>
        <v>Gabriela Sánchez</v>
      </c>
      <c r="B5" s="24" t="str">
        <f>Tratamientos!B2</f>
        <v>Tratamiento facial para acné</v>
      </c>
      <c r="C5" s="6">
        <v>4</v>
      </c>
      <c r="D5" s="25">
        <f>D4+Tratamientos!E2</f>
        <v>46286</v>
      </c>
      <c r="E5" s="6" t="s">
        <v>450</v>
      </c>
      <c r="F5" s="6" t="s">
        <v>451</v>
      </c>
      <c r="G5" s="6" t="s">
        <v>454</v>
      </c>
    </row>
    <row r="6" spans="1:7" x14ac:dyDescent="0.25">
      <c r="A6" s="24" t="str">
        <f>Tratamientos!A2</f>
        <v>Gabriela Sánchez</v>
      </c>
      <c r="B6" s="24" t="str">
        <f>Tratamientos!B2</f>
        <v>Tratamiento facial para acné</v>
      </c>
      <c r="C6" s="6">
        <v>5</v>
      </c>
      <c r="D6" s="25">
        <f>D5+Tratamientos!E2</f>
        <v>46300</v>
      </c>
      <c r="E6" s="6" t="s">
        <v>450</v>
      </c>
      <c r="F6" s="6" t="s">
        <v>451</v>
      </c>
      <c r="G6" s="6" t="s">
        <v>70</v>
      </c>
    </row>
    <row r="7" spans="1:7" x14ac:dyDescent="0.25">
      <c r="A7" s="24" t="str">
        <f>Tratamientos!A2</f>
        <v>Gabriela Sánchez</v>
      </c>
      <c r="B7" s="24" t="str">
        <f>Tratamientos!B2</f>
        <v>Tratamiento facial para acné</v>
      </c>
      <c r="C7" s="6">
        <v>6</v>
      </c>
      <c r="D7" s="25">
        <f>D6+Tratamientos!E2</f>
        <v>46314</v>
      </c>
      <c r="E7" s="6" t="s">
        <v>455</v>
      </c>
      <c r="F7" s="6" t="s">
        <v>456</v>
      </c>
      <c r="G7" s="6" t="s">
        <v>70</v>
      </c>
    </row>
    <row r="8" spans="1:7" x14ac:dyDescent="0.25">
      <c r="A8" s="24" t="str">
        <f>Tratamientos!A3</f>
        <v>Luis Batista</v>
      </c>
      <c r="B8" s="24" t="str">
        <f>Tratamientos!B3</f>
        <v>Tratamiento capilar anticaída</v>
      </c>
      <c r="C8" s="6">
        <v>1</v>
      </c>
      <c r="D8" s="25">
        <f>Tratamientos!H3</f>
        <v>46204</v>
      </c>
      <c r="E8" s="6" t="s">
        <v>450</v>
      </c>
      <c r="F8" s="6" t="s">
        <v>451</v>
      </c>
      <c r="G8" s="6" t="s">
        <v>457</v>
      </c>
    </row>
    <row r="9" spans="1:7" x14ac:dyDescent="0.25">
      <c r="A9" s="24" t="str">
        <f>Tratamientos!A3</f>
        <v>Luis Batista</v>
      </c>
      <c r="B9" s="24" t="str">
        <f>Tratamientos!B3</f>
        <v>Tratamiento capilar anticaída</v>
      </c>
      <c r="C9" s="6">
        <v>2</v>
      </c>
      <c r="D9" s="25">
        <f>D8+Tratamientos!E3</f>
        <v>46218</v>
      </c>
      <c r="E9" s="6" t="s">
        <v>450</v>
      </c>
      <c r="F9" s="6" t="s">
        <v>451</v>
      </c>
      <c r="G9" s="6" t="s">
        <v>70</v>
      </c>
    </row>
    <row r="10" spans="1:7" x14ac:dyDescent="0.25">
      <c r="A10" s="24" t="str">
        <f>Tratamientos!A3</f>
        <v>Luis Batista</v>
      </c>
      <c r="B10" s="24" t="str">
        <f>Tratamientos!B3</f>
        <v>Tratamiento capilar anticaída</v>
      </c>
      <c r="C10" s="6">
        <v>3</v>
      </c>
      <c r="D10" s="25">
        <f>D9+Tratamientos!E3</f>
        <v>46232</v>
      </c>
      <c r="E10" s="6" t="s">
        <v>450</v>
      </c>
      <c r="F10" s="6" t="s">
        <v>451</v>
      </c>
      <c r="G10" s="6" t="s">
        <v>458</v>
      </c>
    </row>
    <row r="11" spans="1:7" x14ac:dyDescent="0.25">
      <c r="A11" s="24" t="str">
        <f>Tratamientos!A3</f>
        <v>Luis Batista</v>
      </c>
      <c r="B11" s="24" t="str">
        <f>Tratamientos!B3</f>
        <v>Tratamiento capilar anticaída</v>
      </c>
      <c r="C11" s="6">
        <v>4</v>
      </c>
      <c r="D11" s="25">
        <f>D10+Tratamientos!E3</f>
        <v>46246</v>
      </c>
      <c r="E11" s="6" t="s">
        <v>450</v>
      </c>
      <c r="F11" s="6" t="s">
        <v>451</v>
      </c>
      <c r="G11" s="6" t="s">
        <v>70</v>
      </c>
    </row>
    <row r="12" spans="1:7" x14ac:dyDescent="0.25">
      <c r="A12" s="24" t="str">
        <f>Tratamientos!A3</f>
        <v>Luis Batista</v>
      </c>
      <c r="B12" s="24" t="str">
        <f>Tratamientos!B3</f>
        <v>Tratamiento capilar anticaída</v>
      </c>
      <c r="C12" s="6">
        <v>5</v>
      </c>
      <c r="D12" s="25">
        <f>D11+Tratamientos!E3</f>
        <v>46260</v>
      </c>
      <c r="E12" s="6" t="s">
        <v>450</v>
      </c>
      <c r="F12" s="6" t="s">
        <v>451</v>
      </c>
      <c r="G12" s="6" t="s">
        <v>459</v>
      </c>
    </row>
    <row r="13" spans="1:7" x14ac:dyDescent="0.25">
      <c r="A13" s="24" t="str">
        <f>Tratamientos!A3</f>
        <v>Luis Batista</v>
      </c>
      <c r="B13" s="24" t="str">
        <f>Tratamientos!B3</f>
        <v>Tratamiento capilar anticaída</v>
      </c>
      <c r="C13" s="6">
        <v>6</v>
      </c>
      <c r="D13" s="25">
        <f>D12+Tratamientos!E3</f>
        <v>46274</v>
      </c>
      <c r="E13" s="6" t="s">
        <v>450</v>
      </c>
      <c r="F13" s="6" t="s">
        <v>451</v>
      </c>
      <c r="G13" s="6" t="s">
        <v>70</v>
      </c>
    </row>
    <row r="14" spans="1:7" x14ac:dyDescent="0.25">
      <c r="A14" s="24" t="str">
        <f>Tratamientos!A3</f>
        <v>Luis Batista</v>
      </c>
      <c r="B14" s="24" t="str">
        <f>Tratamientos!B3</f>
        <v>Tratamiento capilar anticaída</v>
      </c>
      <c r="C14" s="6">
        <v>7</v>
      </c>
      <c r="D14" s="25">
        <f>D13+Tratamientos!E3</f>
        <v>46288</v>
      </c>
      <c r="E14" s="6" t="s">
        <v>450</v>
      </c>
      <c r="F14" s="6" t="s">
        <v>451</v>
      </c>
      <c r="G14" s="6" t="s">
        <v>70</v>
      </c>
    </row>
    <row r="15" spans="1:7" x14ac:dyDescent="0.25">
      <c r="A15" s="24" t="str">
        <f>Tratamientos!A3</f>
        <v>Luis Batista</v>
      </c>
      <c r="B15" s="24" t="str">
        <f>Tratamientos!B3</f>
        <v>Tratamiento capilar anticaída</v>
      </c>
      <c r="C15" s="6">
        <v>8</v>
      </c>
      <c r="D15" s="25">
        <f>D14+Tratamientos!E3</f>
        <v>46302</v>
      </c>
      <c r="E15" s="6" t="s">
        <v>455</v>
      </c>
      <c r="F15" s="6" t="s">
        <v>456</v>
      </c>
      <c r="G15" s="6" t="s">
        <v>70</v>
      </c>
    </row>
    <row r="16" spans="1:7" x14ac:dyDescent="0.25">
      <c r="A16" s="24" t="str">
        <f>Tratamientos!A4</f>
        <v>Carolina Vega</v>
      </c>
      <c r="B16" s="24" t="str">
        <f>Tratamientos!B4</f>
        <v>Despigmentación de manchas (melasma)</v>
      </c>
      <c r="C16" s="6">
        <v>1</v>
      </c>
      <c r="D16" s="25">
        <f>Tratamientos!H4</f>
        <v>46223</v>
      </c>
      <c r="E16" s="6" t="s">
        <v>450</v>
      </c>
      <c r="F16" s="6" t="s">
        <v>451</v>
      </c>
      <c r="G16" s="6" t="s">
        <v>460</v>
      </c>
    </row>
    <row r="17" spans="1:7" x14ac:dyDescent="0.25">
      <c r="A17" s="24" t="str">
        <f>Tratamientos!A4</f>
        <v>Carolina Vega</v>
      </c>
      <c r="B17" s="24" t="str">
        <f>Tratamientos!B4</f>
        <v>Despigmentación de manchas (melasma)</v>
      </c>
      <c r="C17" s="6">
        <v>2</v>
      </c>
      <c r="D17" s="25">
        <f>D16+Tratamientos!E4</f>
        <v>46244</v>
      </c>
      <c r="E17" s="6" t="s">
        <v>450</v>
      </c>
      <c r="F17" s="6" t="s">
        <v>451</v>
      </c>
      <c r="G17" s="6" t="s">
        <v>461</v>
      </c>
    </row>
    <row r="18" spans="1:7" x14ac:dyDescent="0.25">
      <c r="A18" s="24" t="str">
        <f>Tratamientos!A4</f>
        <v>Carolina Vega</v>
      </c>
      <c r="B18" s="24" t="str">
        <f>Tratamientos!B4</f>
        <v>Despigmentación de manchas (melasma)</v>
      </c>
      <c r="C18" s="6">
        <v>3</v>
      </c>
      <c r="D18" s="25">
        <f>D17+Tratamientos!E4</f>
        <v>46265</v>
      </c>
      <c r="E18" s="6" t="s">
        <v>450</v>
      </c>
      <c r="F18" s="6" t="s">
        <v>451</v>
      </c>
      <c r="G18" s="6" t="s">
        <v>70</v>
      </c>
    </row>
    <row r="19" spans="1:7" x14ac:dyDescent="0.25">
      <c r="A19" s="24" t="str">
        <f>Tratamientos!A4</f>
        <v>Carolina Vega</v>
      </c>
      <c r="B19" s="24" t="str">
        <f>Tratamientos!B4</f>
        <v>Despigmentación de manchas (melasma)</v>
      </c>
      <c r="C19" s="6">
        <v>4</v>
      </c>
      <c r="D19" s="25">
        <f>D18+Tratamientos!E4</f>
        <v>46286</v>
      </c>
      <c r="E19" s="6" t="s">
        <v>450</v>
      </c>
      <c r="F19" s="6" t="s">
        <v>451</v>
      </c>
      <c r="G19" s="6" t="s">
        <v>462</v>
      </c>
    </row>
    <row r="20" spans="1:7" x14ac:dyDescent="0.25">
      <c r="A20" s="24" t="str">
        <f>Tratamientos!A4</f>
        <v>Carolina Vega</v>
      </c>
      <c r="B20" s="24" t="str">
        <f>Tratamientos!B4</f>
        <v>Despigmentación de manchas (melasma)</v>
      </c>
      <c r="C20" s="6">
        <v>5</v>
      </c>
      <c r="D20" s="25">
        <f>D19+Tratamientos!E4</f>
        <v>46307</v>
      </c>
      <c r="E20" s="6" t="s">
        <v>455</v>
      </c>
      <c r="F20" s="6" t="s">
        <v>456</v>
      </c>
      <c r="G20" s="6" t="s">
        <v>70</v>
      </c>
    </row>
    <row r="21" spans="1:7" x14ac:dyDescent="0.25">
      <c r="A21" s="24" t="str">
        <f>Tratamientos!A4</f>
        <v>Carolina Vega</v>
      </c>
      <c r="B21" s="24" t="str">
        <f>Tratamientos!B4</f>
        <v>Despigmentación de manchas (melasma)</v>
      </c>
      <c r="C21" s="6">
        <v>6</v>
      </c>
      <c r="D21" s="25">
        <f>D20+Tratamientos!E4</f>
        <v>46328</v>
      </c>
      <c r="E21" s="6" t="s">
        <v>455</v>
      </c>
      <c r="F21" s="6" t="s">
        <v>456</v>
      </c>
      <c r="G21" s="6" t="s">
        <v>70</v>
      </c>
    </row>
    <row r="22" spans="1:7" x14ac:dyDescent="0.25">
      <c r="A22" s="24" t="str">
        <f>Tratamientos!A5</f>
        <v>Patricia Morales</v>
      </c>
      <c r="B22" s="24" t="str">
        <f>Tratamientos!B5</f>
        <v>Reconstrucción capilar con keratina</v>
      </c>
      <c r="C22" s="6">
        <v>1</v>
      </c>
      <c r="D22" s="25">
        <f>Tratamientos!H5</f>
        <v>46218</v>
      </c>
      <c r="E22" s="6" t="s">
        <v>450</v>
      </c>
      <c r="F22" s="6" t="s">
        <v>451</v>
      </c>
      <c r="G22" s="6" t="s">
        <v>463</v>
      </c>
    </row>
    <row r="23" spans="1:7" x14ac:dyDescent="0.25">
      <c r="A23" s="24" t="str">
        <f>Tratamientos!A5</f>
        <v>Patricia Morales</v>
      </c>
      <c r="B23" s="24" t="str">
        <f>Tratamientos!B5</f>
        <v>Reconstrucción capilar con keratina</v>
      </c>
      <c r="C23" s="6">
        <v>2</v>
      </c>
      <c r="D23" s="25">
        <f>D22+Tratamientos!E5</f>
        <v>46248</v>
      </c>
      <c r="E23" s="6" t="s">
        <v>450</v>
      </c>
      <c r="F23" s="6" t="s">
        <v>451</v>
      </c>
      <c r="G23" s="6" t="s">
        <v>464</v>
      </c>
    </row>
    <row r="24" spans="1:7" x14ac:dyDescent="0.25">
      <c r="A24" s="24" t="str">
        <f>Tratamientos!A5</f>
        <v>Patricia Morales</v>
      </c>
      <c r="B24" s="24" t="str">
        <f>Tratamientos!B5</f>
        <v>Reconstrucción capilar con keratina</v>
      </c>
      <c r="C24" s="6">
        <v>3</v>
      </c>
      <c r="D24" s="25">
        <f>D23+Tratamientos!E5</f>
        <v>46278</v>
      </c>
      <c r="E24" s="6" t="s">
        <v>450</v>
      </c>
      <c r="F24" s="6" t="s">
        <v>451</v>
      </c>
      <c r="G24" s="6" t="s">
        <v>465</v>
      </c>
    </row>
    <row r="25" spans="1:7" x14ac:dyDescent="0.25">
      <c r="A25" s="24" t="str">
        <f>Tratamientos!A5</f>
        <v>Patricia Morales</v>
      </c>
      <c r="B25" s="24" t="str">
        <f>Tratamientos!B5</f>
        <v>Reconstrucción capilar con keratina</v>
      </c>
      <c r="C25" s="6">
        <v>4</v>
      </c>
      <c r="D25" s="25">
        <f>D24+Tratamientos!E5</f>
        <v>46308</v>
      </c>
      <c r="E25" s="6" t="s">
        <v>455</v>
      </c>
      <c r="F25" s="6" t="s">
        <v>456</v>
      </c>
      <c r="G25" s="6" t="s">
        <v>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Léeme</vt:lpstr>
      <vt:lpstr>Empleados</vt:lpstr>
      <vt:lpstr>Clientes</vt:lpstr>
      <vt:lpstr>Servicios</vt:lpstr>
      <vt:lpstr>Productos</vt:lpstr>
      <vt:lpstr>Tratamientos</vt:lpstr>
      <vt:lpstr>Sesiones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Blend Studio</dc:creator>
  <dc:title/>
  <dc:subject/>
  <dc:description/>
  <cp:keywords/>
  <cp:category/>
  <cp:lastModifiedBy>Unknown</cp:lastModifiedBy>
  <dcterms:created xsi:type="dcterms:W3CDTF">2026-10-07T17:54:34Z</dcterms:created>
  <dcterms:modified xsi:type="dcterms:W3CDTF">2026-10-07T17:54:34Z</dcterms:modified>
</cp:coreProperties>
</file>